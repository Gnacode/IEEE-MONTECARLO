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U:\MONTECARLO\data\"/>
    </mc:Choice>
  </mc:AlternateContent>
  <xr:revisionPtr revIDLastSave="0" documentId="13_ncr:1_{D5943926-D6BF-4703-BFC0-58DD60FE51B2}" xr6:coauthVersionLast="47" xr6:coauthVersionMax="47" xr10:uidLastSave="{00000000-0000-0000-0000-000000000000}"/>
  <bookViews>
    <workbookView xWindow="0" yWindow="360" windowWidth="30936" windowHeight="16776" firstSheet="8" activeTab="13" xr2:uid="{00000000-000D-0000-FFFF-FFFF00000000}"/>
  </bookViews>
  <sheets>
    <sheet name="README" sheetId="1" r:id="rId1"/>
    <sheet name="Configurations" sheetId="2" r:id="rId2"/>
    <sheet name="Headline_Metrics" sheetId="3" r:id="rId3"/>
    <sheet name="Metrics_50n_18dB" sheetId="4" r:id="rId4"/>
    <sheet name="Metrics_50n_12dB" sheetId="5" r:id="rId5"/>
    <sheet name="Metrics_10n_18dB" sheetId="6" r:id="rId6"/>
    <sheet name="Metrics_10n_12dB" sheetId="7" r:id="rId7"/>
    <sheet name="ROC_50n_18dB" sheetId="8" r:id="rId8"/>
    <sheet name="ROC_50n_12dB" sheetId="9" r:id="rId9"/>
    <sheet name="ROC_10n_18dB" sheetId="10" r:id="rId10"/>
    <sheet name="ROC_10n_12dB" sheetId="11" r:id="rId11"/>
    <sheet name="Network_Load_Comparison" sheetId="12" r:id="rId12"/>
    <sheet name="SNR_Robustness" sheetId="13" r:id="rId13"/>
    <sheet name="Scaling_Analysis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4" l="1"/>
  <c r="E77" i="14"/>
  <c r="F76" i="14"/>
  <c r="E76" i="14"/>
  <c r="F75" i="14"/>
  <c r="E75" i="14"/>
  <c r="F74" i="14"/>
  <c r="E74" i="14"/>
  <c r="F73" i="14"/>
  <c r="E73" i="14"/>
  <c r="F72" i="14"/>
  <c r="E72" i="14"/>
  <c r="F70" i="14"/>
  <c r="E70" i="14"/>
  <c r="F69" i="14"/>
  <c r="E69" i="14"/>
  <c r="F68" i="14"/>
  <c r="E68" i="14"/>
  <c r="F67" i="14"/>
  <c r="E67" i="14"/>
  <c r="F66" i="14"/>
  <c r="E66" i="14"/>
  <c r="F65" i="14"/>
  <c r="E65" i="14"/>
  <c r="F63" i="14"/>
  <c r="E63" i="14"/>
  <c r="F62" i="14"/>
  <c r="E62" i="14"/>
  <c r="F61" i="14"/>
  <c r="E61" i="14"/>
  <c r="F60" i="14"/>
  <c r="E60" i="14"/>
  <c r="F59" i="14"/>
  <c r="E59" i="14"/>
  <c r="F58" i="14"/>
  <c r="E58" i="14"/>
  <c r="F56" i="14"/>
  <c r="E56" i="14"/>
  <c r="F55" i="14"/>
  <c r="E55" i="14"/>
  <c r="F54" i="14"/>
  <c r="E54" i="14"/>
  <c r="F53" i="14"/>
  <c r="E53" i="14"/>
  <c r="F52" i="14"/>
  <c r="E52" i="14"/>
  <c r="F51" i="14"/>
  <c r="E51" i="14"/>
  <c r="F49" i="14"/>
  <c r="E49" i="14"/>
  <c r="F48" i="14"/>
  <c r="E48" i="14"/>
  <c r="F47" i="14"/>
  <c r="E47" i="14"/>
  <c r="F46" i="14"/>
  <c r="E46" i="14"/>
  <c r="F45" i="14"/>
  <c r="E45" i="14"/>
  <c r="F44" i="14"/>
  <c r="E44" i="14"/>
  <c r="F39" i="14"/>
  <c r="E39" i="14"/>
  <c r="F38" i="14"/>
  <c r="E38" i="14"/>
  <c r="F37" i="14"/>
  <c r="E37" i="14"/>
  <c r="F36" i="14"/>
  <c r="E36" i="14"/>
  <c r="F35" i="14"/>
  <c r="E35" i="14"/>
  <c r="F34" i="14"/>
  <c r="E34" i="14"/>
  <c r="F32" i="14"/>
  <c r="E32" i="14"/>
  <c r="F31" i="14"/>
  <c r="E31" i="14"/>
  <c r="F30" i="14"/>
  <c r="E30" i="14"/>
  <c r="F29" i="14"/>
  <c r="E29" i="14"/>
  <c r="F28" i="14"/>
  <c r="E28" i="14"/>
  <c r="F27" i="14"/>
  <c r="E27" i="14"/>
  <c r="F25" i="14"/>
  <c r="E25" i="14"/>
  <c r="F24" i="14"/>
  <c r="E24" i="14"/>
  <c r="F23" i="14"/>
  <c r="E23" i="14"/>
  <c r="F22" i="14"/>
  <c r="E22" i="14"/>
  <c r="F21" i="14"/>
  <c r="E21" i="14"/>
  <c r="F20" i="14"/>
  <c r="E20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1" i="14"/>
  <c r="E11" i="14"/>
  <c r="F10" i="14"/>
  <c r="E10" i="14"/>
  <c r="F9" i="14"/>
  <c r="E9" i="14"/>
  <c r="F8" i="14"/>
  <c r="E8" i="14"/>
  <c r="F7" i="14"/>
  <c r="E7" i="14"/>
  <c r="F6" i="14"/>
  <c r="E6" i="14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</calcChain>
</file>

<file path=xl/sharedStrings.xml><?xml version="1.0" encoding="utf-8"?>
<sst xmlns="http://schemas.openxmlformats.org/spreadsheetml/2006/main" count="610" uniqueCount="139">
  <si>
    <t>TSNFA Monte Carlo Compiled Workbook</t>
  </si>
  <si>
    <t>Generated: 2026-05-14 05:17:57</t>
  </si>
  <si>
    <t>Data Sources</t>
  </si>
  <si>
    <t>Number of runs compiled:</t>
  </si>
  <si>
    <t xml:space="preserve">  50n / 18dB (current)</t>
  </si>
  <si>
    <t>\\biovsys\gnadev\MONTECARLO\data\simulation_results.json</t>
  </si>
  <si>
    <t xml:space="preserve">  50n / 12dB (20260513_1617)</t>
  </si>
  <si>
    <t>\\biovsys\gnadev\MONTECARLO\backups\20260513_161751\data\simulation_results.json</t>
  </si>
  <si>
    <t xml:space="preserve">  10n / 18dB (20260513_1026)</t>
  </si>
  <si>
    <t>\\biovsys\gnadev\MONTECARLO\backups\20260513_102615\data\simulation_results.json</t>
  </si>
  <si>
    <t xml:space="preserve">  10n / 12dB (20260513_0919)</t>
  </si>
  <si>
    <t>\\biovsys\gnadev\MONTECARLO\backups\20260513_091959\data\simulation_results.json</t>
  </si>
  <si>
    <t>Sheet Index</t>
  </si>
  <si>
    <t>README</t>
  </si>
  <si>
    <t>This page</t>
  </si>
  <si>
    <t>Configurations</t>
  </si>
  <si>
    <t>Per-run metadata: SNR, network size, preset, MC runs, algorithm parameters</t>
  </si>
  <si>
    <t>Headline_Metrics</t>
  </si>
  <si>
    <t>7 key metrics × 5 detectors × all runs (paper-table format)</t>
  </si>
  <si>
    <t>All_Metrics_&lt;run&gt;</t>
  </si>
  <si>
    <t>Full 14-metric table for each run, mean ± std across MC replicates</t>
  </si>
  <si>
    <t>ROC_&lt;run&gt;</t>
  </si>
  <si>
    <t>ROC threshold sweep: (threshold, DR%, FAR clusters/hr/node) per detector</t>
  </si>
  <si>
    <t>Network_Load_Comparison</t>
  </si>
  <si>
    <t>Per-detector load × network size, with cross-detector ratios</t>
  </si>
  <si>
    <t>SNR_Robustness</t>
  </si>
  <si>
    <t>Detection rate as function of SNR, by detector and network size</t>
  </si>
  <si>
    <t>Scaling_Analysis</t>
  </si>
  <si>
    <t>Per-detector growth from 10n→50n at each SNR</t>
  </si>
  <si>
    <t>Detector Pool</t>
  </si>
  <si>
    <t>TSNFA</t>
  </si>
  <si>
    <t>Two-stage cascade: Defence-1 (FFT-bin spectral consistency) + Defence-2 (median CFAR rank, k=N/2)</t>
  </si>
  <si>
    <t>Lipski</t>
  </si>
  <si>
    <t>Lipski et al. 2021, FFT-energy detector, μ + k·σ threshold per bin (k=3 canonical), DOI 10.1109/TAES.2020.3040059</t>
  </si>
  <si>
    <t>CA-CFAR</t>
  </si>
  <si>
    <t>Finn &amp; Johnson 1968, sliding-mean noise estimate, P_fa=1e-3 (α=7.71)</t>
  </si>
  <si>
    <t>OS-CFAR</t>
  </si>
  <si>
    <t>Rohling 1983, 75th-percentile rank-order noise estimate (k=24/32), P_fa=1e-3 (α=37.33), DOI 10.1109/TAES.1983.309350</t>
  </si>
  <si>
    <t>CUSUM</t>
  </si>
  <si>
    <t>Torre 2023 Tartakovsky variant, change-point detection, α_fa=1e-5, K_end=100, DOI 10.1109/RADAR54928.2023.10371059</t>
  </si>
  <si>
    <t>Notes</t>
  </si>
  <si>
    <t xml:space="preserve">  • All metric values are mean ± std across Monte Carlo replicate runs (typically N=5).</t>
  </si>
  <si>
    <t xml:space="preserve">  • FAR clusters /hr/node groups consecutive false-positive triggers within 5-second window into one cluster.</t>
  </si>
  <si>
    <t xml:space="preserve">  • Event Precision = events_detected / (events_detected + FP_clusters); the headline precision metric.</t>
  </si>
  <si>
    <t xml:space="preserve">  • Network Load = per-node trigger payload bytes/hour (multiply by N-1 sensor nodes for total mesh load).</t>
  </si>
  <si>
    <t xml:space="preserve">  • ROC sweep data comes from the first MC replicate only (single-run threshold sweep).</t>
  </si>
  <si>
    <t xml:space="preserve">  • ROC curves are upper-envelope (Pareto frontier) — guaranteed monotonic.</t>
  </si>
  <si>
    <t>Run</t>
  </si>
  <si>
    <t>Origin</t>
  </si>
  <si>
    <t>num_nodes</t>
  </si>
  <si>
    <t>SNR (dB)</t>
  </si>
  <si>
    <t>Duration (h)</t>
  </si>
  <si>
    <t>Preset</t>
  </si>
  <si>
    <t>MC Runs</t>
  </si>
  <si>
    <t>Total Events</t>
  </si>
  <si>
    <t>TSNFA gamma_d</t>
  </si>
  <si>
    <t>TSNFA gamma_a</t>
  </si>
  <si>
    <t>TSNFA zeta</t>
  </si>
  <si>
    <t>Lipski k</t>
  </si>
  <si>
    <t>Lipski n_bins_min</t>
  </si>
  <si>
    <t>CA-CFAR n_ref</t>
  </si>
  <si>
    <t>CA-CFAR n_guard</t>
  </si>
  <si>
    <t>CA-CFAR P_fa</t>
  </si>
  <si>
    <t>OS-CFAR n_ref</t>
  </si>
  <si>
    <t>OS-CFAR k_rank</t>
  </si>
  <si>
    <t>OS-CFAR P_fa</t>
  </si>
  <si>
    <t>CUSUM α_fa</t>
  </si>
  <si>
    <t>CUSUM K_end</t>
  </si>
  <si>
    <t>50n / 18dB (current)</t>
  </si>
  <si>
    <t>current</t>
  </si>
  <si>
    <t>ACCURATE</t>
  </si>
  <si>
    <t>50n / 12dB (20260513_1617)</t>
  </si>
  <si>
    <t>20260513_161751</t>
  </si>
  <si>
    <t>10n / 18dB (20260513_1026)</t>
  </si>
  <si>
    <t>20260513_102615</t>
  </si>
  <si>
    <t>10n / 12dB (20260513_0919)</t>
  </si>
  <si>
    <t>20260513_091959</t>
  </si>
  <si>
    <t>Headline Metrics — TSNFA + 4 Classical Comparators</t>
  </si>
  <si>
    <t>Detector</t>
  </si>
  <si>
    <t>Metric</t>
  </si>
  <si>
    <t>50n / 18dB</t>
  </si>
  <si>
    <t>50n / 12dB</t>
  </si>
  <si>
    <t>10n / 18dB</t>
  </si>
  <si>
    <t>10n / 12dB</t>
  </si>
  <si>
    <t>Detection Rate (%)</t>
  </si>
  <si>
    <t>Event Precision (%)</t>
  </si>
  <si>
    <t>FP Clusters</t>
  </si>
  <si>
    <t>FAR clusters /hr/node</t>
  </si>
  <si>
    <t>Redundancy (TP/event)</t>
  </si>
  <si>
    <t>Mean Latency (ms)</t>
  </si>
  <si>
    <t>Network Load (B/hr)</t>
  </si>
  <si>
    <t>Notes: TSNFA rows highlighted in green. Network Load is per-node bytes/hr; multiply by (N-1) sensor nodes for total mesh load. Detection Rate is event-level (events with at least one trigger inside the event window).</t>
  </si>
  <si>
    <t>All Metrics — 50n / 18dB (current)</t>
  </si>
  <si>
    <t>Total events: —  •  Duration: 24.0h  •  MC runs: 5  •  Preset: ACCURATE</t>
  </si>
  <si>
    <t>Mean</t>
  </si>
  <si>
    <t>Std</t>
  </si>
  <si>
    <t>Events Detected</t>
  </si>
  <si>
    <t>Miss Rate (%)</t>
  </si>
  <si>
    <t>TP frames</t>
  </si>
  <si>
    <t>FP frames</t>
  </si>
  <si>
    <t>FAR frames /hr/node</t>
  </si>
  <si>
    <t>Frame Precision (%)</t>
  </si>
  <si>
    <t>99th %ile Latency (ms)</t>
  </si>
  <si>
    <t>All Metrics — 50n / 12dB (20260513_1617)</t>
  </si>
  <si>
    <t>All Metrics — 10n / 18dB (20260513_1026)</t>
  </si>
  <si>
    <t>All Metrics — 10n / 12dB (20260513_0919)</t>
  </si>
  <si>
    <t>ROC Threshold Sweep — 50n / 18dB (current)</t>
  </si>
  <si>
    <t>Each block shows one detector's threshold sweep. Curves are upper-envelope (Pareto frontier) — DR is monotonic in FAR. Canonical operating point is at threshold ≈ 1.0.</t>
  </si>
  <si>
    <t>Threshold</t>
  </si>
  <si>
    <t>FAR clusters/hr/node</t>
  </si>
  <si>
    <t>DR (envelope) %</t>
  </si>
  <si>
    <t>DR (raw) %</t>
  </si>
  <si>
    <t>FP clusters total</t>
  </si>
  <si>
    <t>ROC Threshold Sweep — 50n / 12dB (20260513_1617)</t>
  </si>
  <si>
    <t>ROC Threshold Sweep — 10n / 18dB (20260513_1026)</t>
  </si>
  <si>
    <t>ROC Threshold Sweep — 10n / 12dB (20260513_0919)</t>
  </si>
  <si>
    <t>Network Load Comparison Across Runs</t>
  </si>
  <si>
    <t>Per-node load (B/hr), total mesh load (= per-node × (N-1) sensor nodes), and ratio vs TSNFA. Cells use formulas referencing run data above.</t>
  </si>
  <si>
    <t>Per-node Network Load (B/hr)</t>
  </si>
  <si>
    <t>Total Mesh Load (kB/hr) = per-node × (N-1)</t>
  </si>
  <si>
    <t>Per-node Load Ratio vs TSNFA</t>
  </si>
  <si>
    <t>Per-node load is the bytes per hour each sensor node transmits (across all triggers). Total Mesh Load is the aggregate traffic on the network, computed as per-node × (N-1) where N-1 is the number of sensor nodes (one node is the sink). Ratio shows how many times more bandwidth a detector consumes than TSNFA at the same operating point.</t>
  </si>
  <si>
    <t>SNR Robustness — Detection Rate vs SNR</t>
  </si>
  <si>
    <t>Each detector's detection rate (%) at the canonical operating point, across SNR values. Drops at lower SNR indicate per-node algorithmic brittleness.</t>
  </si>
  <si>
    <t>Network Size: 10 nodes</t>
  </si>
  <si>
    <t>18 dB</t>
  </si>
  <si>
    <t>12 dB</t>
  </si>
  <si>
    <t>SNR Drop (Δ%)</t>
  </si>
  <si>
    <t>Network Size: 50 nodes</t>
  </si>
  <si>
    <t>SNR Drop column = DR(highest SNR) − DR(lowest SNR). Cells highlighted red if drop &gt; 30 percentage points (severe brittleness), amber if 10–30 (moderate). TSNFA's drop should be near 0 across both sizes.</t>
  </si>
  <si>
    <t>Network Scaling — From Smallest to Largest Network</t>
  </si>
  <si>
    <t>Per-metric growth ratio when going from smallest to largest network size at each SNR. Detection-quality metrics (DR, precision) should be invariant; only counts (FP clusters, network load) should scale linearly with N.</t>
  </si>
  <si>
    <t>SNR = 18 dB</t>
  </si>
  <si>
    <t>10n</t>
  </si>
  <si>
    <t>50n</t>
  </si>
  <si>
    <t>Ratio (×)</t>
  </si>
  <si>
    <t>Δ Absolute</t>
  </si>
  <si>
    <t>SNR = 12 dB</t>
  </si>
  <si>
    <t>Ratio = 50n value / 10n value. Δ Absolute = difference. For detection-quality metrics (DR, Event Precision) the ratio should be ~1.0 (quality is per-node, not per-network). For count-based metrics (FP Clusters, Network Load), expect ratio ≈ (50-1)/(10-1) = 5.4× from network size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</si>
</sst>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#,##0.0"/>
    <numFmt numFmtId="168" formatCode="0.0&quot;×&quot;"/>
    <numFmt numFmtId="169" formatCode="0.0&quot;%&quot;"/>
    <numFmt numFmtId="170" formatCode="0.00&quot;×&quot;"/>
  </numFmts>
  <fonts count="14" x14ac:knownFonts="1">
    <font>
      <sz val="11"/>
      <color theme="1"/>
      <name val="Calibri"/>
      <family val="2"/>
      <scheme val="minor"/>
    </font>
    <font>
      <b/>
      <sz val="16"/>
      <color rgb="FF305496"/>
      <name val="Arial"/>
    </font>
    <font>
      <i/>
      <sz val="9"/>
      <color rgb="FF606060"/>
      <name val="Arial"/>
    </font>
    <font>
      <b/>
      <sz val="12"/>
      <color rgb="FF305496"/>
      <name val="Arial"/>
    </font>
    <font>
      <sz val="9"/>
      <name val="Consolas"/>
    </font>
    <font>
      <b/>
      <sz val="10"/>
      <name val="Consolas"/>
    </font>
    <font>
      <b/>
      <sz val="10"/>
      <name val="Arial"/>
    </font>
    <font>
      <sz val="9"/>
      <name val="Arial"/>
    </font>
    <font>
      <i/>
      <sz val="9"/>
      <color rgb="FF404040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305496"/>
      <name val="Arial"/>
    </font>
    <font>
      <b/>
      <sz val="12"/>
      <color rgb="FFFFFFFF"/>
      <name val="Arial"/>
    </font>
    <font>
      <b/>
      <sz val="11"/>
      <color rgb="FF305496"/>
      <name val="Arial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right" vertical="center"/>
    </xf>
    <xf numFmtId="1" fontId="10" fillId="3" borderId="1" xfId="0" applyNumberFormat="1" applyFont="1" applyFill="1" applyBorder="1" applyAlignment="1">
      <alignment horizontal="right" vertical="center"/>
    </xf>
    <xf numFmtId="165" fontId="10" fillId="3" borderId="1" xfId="0" applyNumberFormat="1" applyFont="1" applyFill="1" applyBorder="1" applyAlignment="1">
      <alignment horizontal="right" vertical="center"/>
    </xf>
    <xf numFmtId="2" fontId="10" fillId="3" borderId="1" xfId="0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right" vertical="center"/>
    </xf>
    <xf numFmtId="0" fontId="13" fillId="0" borderId="0" xfId="0" applyFont="1"/>
    <xf numFmtId="167" fontId="10" fillId="3" borderId="1" xfId="0" applyNumberFormat="1" applyFont="1" applyFill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168" fontId="10" fillId="3" borderId="1" xfId="0" applyNumberFormat="1" applyFont="1" applyFill="1" applyBorder="1" applyAlignment="1">
      <alignment horizontal="right" vertical="center"/>
    </xf>
    <xf numFmtId="168" fontId="10" fillId="0" borderId="1" xfId="0" applyNumberFormat="1" applyFont="1" applyBorder="1" applyAlignment="1">
      <alignment horizontal="right" vertical="center"/>
    </xf>
    <xf numFmtId="169" fontId="10" fillId="3" borderId="1" xfId="0" applyNumberFormat="1" applyFont="1" applyFill="1" applyBorder="1" applyAlignment="1">
      <alignment horizontal="right" vertical="center"/>
    </xf>
    <xf numFmtId="169" fontId="10" fillId="0" borderId="1" xfId="0" applyNumberFormat="1" applyFont="1" applyBorder="1" applyAlignment="1">
      <alignment horizontal="right" vertical="center"/>
    </xf>
    <xf numFmtId="169" fontId="10" fillId="5" borderId="1" xfId="0" applyNumberFormat="1" applyFont="1" applyFill="1" applyBorder="1" applyAlignment="1">
      <alignment horizontal="right" vertical="center"/>
    </xf>
    <xf numFmtId="170" fontId="10" fillId="3" borderId="1" xfId="0" applyNumberFormat="1" applyFont="1" applyFill="1" applyBorder="1" applyAlignment="1">
      <alignment horizontal="right" vertical="center"/>
    </xf>
    <xf numFmtId="170" fontId="10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11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26" sqref="B26"/>
    </sheetView>
  </sheetViews>
  <sheetFormatPr defaultRowHeight="14.4" x14ac:dyDescent="0.3"/>
  <cols>
    <col min="1" max="1" width="35" customWidth="1"/>
    <col min="2" max="2" width="93.109375" customWidth="1"/>
    <col min="3" max="5" width="20" customWidth="1"/>
  </cols>
  <sheetData>
    <row r="1" spans="1:5" ht="21" x14ac:dyDescent="0.4">
      <c r="A1" s="37" t="s">
        <v>0</v>
      </c>
      <c r="B1" s="35"/>
      <c r="C1" s="35"/>
      <c r="D1" s="35"/>
      <c r="E1" s="35"/>
    </row>
    <row r="2" spans="1:5" x14ac:dyDescent="0.3">
      <c r="A2" s="36" t="s">
        <v>1</v>
      </c>
      <c r="B2" s="35"/>
      <c r="C2" s="35"/>
      <c r="D2" s="35"/>
      <c r="E2" s="35"/>
    </row>
    <row r="4" spans="1:5" ht="15.6" x14ac:dyDescent="0.3">
      <c r="A4" s="1" t="s">
        <v>2</v>
      </c>
    </row>
    <row r="5" spans="1:5" x14ac:dyDescent="0.3">
      <c r="A5" t="s">
        <v>3</v>
      </c>
      <c r="B5">
        <v>4</v>
      </c>
    </row>
    <row r="6" spans="1:5" x14ac:dyDescent="0.3">
      <c r="A6" t="s">
        <v>4</v>
      </c>
      <c r="B6" s="2" t="s">
        <v>5</v>
      </c>
    </row>
    <row r="7" spans="1:5" x14ac:dyDescent="0.3">
      <c r="A7" t="s">
        <v>6</v>
      </c>
      <c r="B7" s="2" t="s">
        <v>7</v>
      </c>
    </row>
    <row r="8" spans="1:5" x14ac:dyDescent="0.3">
      <c r="A8" t="s">
        <v>8</v>
      </c>
      <c r="B8" s="2" t="s">
        <v>9</v>
      </c>
    </row>
    <row r="9" spans="1:5" x14ac:dyDescent="0.3">
      <c r="A9" t="s">
        <v>10</v>
      </c>
      <c r="B9" s="2" t="s">
        <v>11</v>
      </c>
    </row>
    <row r="11" spans="1:5" ht="15.6" x14ac:dyDescent="0.3">
      <c r="A11" s="1" t="s">
        <v>12</v>
      </c>
    </row>
    <row r="12" spans="1:5" x14ac:dyDescent="0.3">
      <c r="A12" s="3" t="s">
        <v>13</v>
      </c>
      <c r="B12" t="s">
        <v>14</v>
      </c>
    </row>
    <row r="13" spans="1:5" x14ac:dyDescent="0.3">
      <c r="A13" s="3" t="s">
        <v>15</v>
      </c>
      <c r="B13" t="s">
        <v>16</v>
      </c>
    </row>
    <row r="14" spans="1:5" x14ac:dyDescent="0.3">
      <c r="A14" s="3" t="s">
        <v>17</v>
      </c>
      <c r="B14" t="s">
        <v>18</v>
      </c>
    </row>
    <row r="15" spans="1:5" x14ac:dyDescent="0.3">
      <c r="A15" s="3" t="s">
        <v>19</v>
      </c>
      <c r="B15" t="s">
        <v>20</v>
      </c>
    </row>
    <row r="16" spans="1:5" x14ac:dyDescent="0.3">
      <c r="A16" s="3" t="s">
        <v>21</v>
      </c>
      <c r="B16" t="s">
        <v>22</v>
      </c>
    </row>
    <row r="17" spans="1:5" x14ac:dyDescent="0.3">
      <c r="A17" s="3" t="s">
        <v>23</v>
      </c>
      <c r="B17" t="s">
        <v>24</v>
      </c>
    </row>
    <row r="18" spans="1:5" x14ac:dyDescent="0.3">
      <c r="A18" s="3" t="s">
        <v>25</v>
      </c>
      <c r="B18" t="s">
        <v>26</v>
      </c>
    </row>
    <row r="19" spans="1:5" x14ac:dyDescent="0.3">
      <c r="A19" s="3" t="s">
        <v>27</v>
      </c>
      <c r="B19" t="s">
        <v>28</v>
      </c>
    </row>
    <row r="21" spans="1:5" ht="15.6" x14ac:dyDescent="0.3">
      <c r="A21" s="1" t="s">
        <v>29</v>
      </c>
    </row>
    <row r="22" spans="1:5" x14ac:dyDescent="0.3">
      <c r="A22" s="4" t="s">
        <v>30</v>
      </c>
      <c r="B22" s="5" t="s">
        <v>31</v>
      </c>
    </row>
    <row r="23" spans="1:5" x14ac:dyDescent="0.3">
      <c r="A23" s="4" t="s">
        <v>32</v>
      </c>
      <c r="B23" s="5" t="s">
        <v>33</v>
      </c>
    </row>
    <row r="24" spans="1:5" x14ac:dyDescent="0.3">
      <c r="A24" s="4" t="s">
        <v>34</v>
      </c>
      <c r="B24" s="5" t="s">
        <v>35</v>
      </c>
    </row>
    <row r="25" spans="1:5" x14ac:dyDescent="0.3">
      <c r="A25" s="4" t="s">
        <v>36</v>
      </c>
      <c r="B25" s="5" t="s">
        <v>37</v>
      </c>
    </row>
    <row r="26" spans="1:5" x14ac:dyDescent="0.3">
      <c r="A26" s="4" t="s">
        <v>38</v>
      </c>
      <c r="B26" s="5" t="s">
        <v>39</v>
      </c>
    </row>
    <row r="28" spans="1:5" ht="15.6" x14ac:dyDescent="0.3">
      <c r="A28" s="1" t="s">
        <v>40</v>
      </c>
    </row>
    <row r="29" spans="1:5" x14ac:dyDescent="0.3">
      <c r="A29" s="34" t="s">
        <v>41</v>
      </c>
      <c r="B29" s="35"/>
      <c r="C29" s="35"/>
      <c r="D29" s="35"/>
      <c r="E29" s="35"/>
    </row>
    <row r="30" spans="1:5" x14ac:dyDescent="0.3">
      <c r="A30" s="34" t="s">
        <v>42</v>
      </c>
      <c r="B30" s="35"/>
      <c r="C30" s="35"/>
      <c r="D30" s="35"/>
      <c r="E30" s="35"/>
    </row>
    <row r="31" spans="1:5" x14ac:dyDescent="0.3">
      <c r="A31" s="34" t="s">
        <v>43</v>
      </c>
      <c r="B31" s="35"/>
      <c r="C31" s="35"/>
      <c r="D31" s="35"/>
      <c r="E31" s="35"/>
    </row>
    <row r="32" spans="1:5" x14ac:dyDescent="0.3">
      <c r="A32" s="34" t="s">
        <v>44</v>
      </c>
      <c r="B32" s="35"/>
      <c r="C32" s="35"/>
      <c r="D32" s="35"/>
      <c r="E32" s="35"/>
    </row>
    <row r="33" spans="1:5" x14ac:dyDescent="0.3">
      <c r="A33" s="34" t="s">
        <v>45</v>
      </c>
      <c r="B33" s="35"/>
      <c r="C33" s="35"/>
      <c r="D33" s="35"/>
      <c r="E33" s="35"/>
    </row>
    <row r="34" spans="1:5" x14ac:dyDescent="0.3">
      <c r="A34" s="34" t="s">
        <v>46</v>
      </c>
      <c r="B34" s="35"/>
      <c r="C34" s="35"/>
      <c r="D34" s="35"/>
      <c r="E34" s="35"/>
    </row>
  </sheetData>
  <mergeCells count="8">
    <mergeCell ref="A1:E1"/>
    <mergeCell ref="A32:E32"/>
    <mergeCell ref="A31:E31"/>
    <mergeCell ref="A30:E30"/>
    <mergeCell ref="A34:E34"/>
    <mergeCell ref="A29:E29"/>
    <mergeCell ref="A2:E2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17" customWidth="1"/>
    <col min="3" max="3" width="11" customWidth="1"/>
    <col min="4" max="4" width="10" customWidth="1"/>
    <col min="5" max="5" width="14" customWidth="1"/>
    <col min="6" max="7" width="10" customWidth="1"/>
    <col min="8" max="8" width="14" customWidth="1"/>
    <col min="9" max="10" width="15" customWidth="1"/>
    <col min="11" max="11" width="12" customWidth="1"/>
    <col min="12" max="12" width="10" customWidth="1"/>
    <col min="13" max="13" width="19" customWidth="1"/>
    <col min="14" max="14" width="15" customWidth="1"/>
    <col min="15" max="15" width="17" customWidth="1"/>
    <col min="16" max="16" width="14" customWidth="1"/>
    <col min="17" max="17" width="15" customWidth="1"/>
    <col min="18" max="18" width="16" customWidth="1"/>
    <col min="19" max="19" width="14" customWidth="1"/>
    <col min="20" max="20" width="12" customWidth="1"/>
    <col min="21" max="21" width="13" customWidth="1"/>
  </cols>
  <sheetData>
    <row r="1" spans="1:21" ht="28.05" customHeight="1" x14ac:dyDescent="0.3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6" t="s">
        <v>57</v>
      </c>
      <c r="L1" s="6" t="s">
        <v>58</v>
      </c>
      <c r="M1" s="6" t="s">
        <v>59</v>
      </c>
      <c r="N1" s="6" t="s">
        <v>60</v>
      </c>
      <c r="O1" s="6" t="s">
        <v>61</v>
      </c>
      <c r="P1" s="6" t="s">
        <v>62</v>
      </c>
      <c r="Q1" s="6" t="s">
        <v>63</v>
      </c>
      <c r="R1" s="6" t="s">
        <v>64</v>
      </c>
      <c r="S1" s="6" t="s">
        <v>65</v>
      </c>
      <c r="T1" s="6" t="s">
        <v>66</v>
      </c>
      <c r="U1" s="6" t="s">
        <v>67</v>
      </c>
    </row>
    <row r="2" spans="1:21" x14ac:dyDescent="0.3">
      <c r="A2" s="7" t="s">
        <v>68</v>
      </c>
      <c r="B2" s="8" t="s">
        <v>69</v>
      </c>
      <c r="C2" s="8">
        <v>50</v>
      </c>
      <c r="D2" s="8">
        <v>18</v>
      </c>
      <c r="E2" s="8">
        <v>24</v>
      </c>
      <c r="F2" s="8" t="s">
        <v>70</v>
      </c>
      <c r="G2" s="8">
        <v>5</v>
      </c>
      <c r="H2" s="8"/>
      <c r="I2" s="8">
        <v>3</v>
      </c>
      <c r="J2" s="8">
        <v>64</v>
      </c>
      <c r="K2" s="8">
        <v>6</v>
      </c>
      <c r="L2" s="8">
        <v>3</v>
      </c>
      <c r="M2" s="8">
        <v>3</v>
      </c>
      <c r="N2" s="8">
        <v>32</v>
      </c>
      <c r="O2" s="8">
        <v>4</v>
      </c>
      <c r="P2" s="8">
        <v>1E-3</v>
      </c>
      <c r="Q2" s="8">
        <v>32</v>
      </c>
      <c r="R2" s="8">
        <v>24</v>
      </c>
      <c r="S2" s="8">
        <v>1E-3</v>
      </c>
      <c r="T2" s="8">
        <v>1.0000000000000001E-5</v>
      </c>
      <c r="U2" s="8">
        <v>100</v>
      </c>
    </row>
    <row r="3" spans="1:21" x14ac:dyDescent="0.3">
      <c r="A3" s="7" t="s">
        <v>71</v>
      </c>
      <c r="B3" s="8" t="s">
        <v>72</v>
      </c>
      <c r="C3" s="8">
        <v>50</v>
      </c>
      <c r="D3" s="8">
        <v>12</v>
      </c>
      <c r="E3" s="8">
        <v>24</v>
      </c>
      <c r="F3" s="8" t="s">
        <v>70</v>
      </c>
      <c r="G3" s="8">
        <v>5</v>
      </c>
      <c r="H3" s="8"/>
      <c r="I3" s="8">
        <v>3</v>
      </c>
      <c r="J3" s="8">
        <v>64</v>
      </c>
      <c r="K3" s="8">
        <v>6</v>
      </c>
      <c r="L3" s="8">
        <v>3</v>
      </c>
      <c r="M3" s="8">
        <v>3</v>
      </c>
      <c r="N3" s="8">
        <v>32</v>
      </c>
      <c r="O3" s="8">
        <v>4</v>
      </c>
      <c r="P3" s="8">
        <v>1E-3</v>
      </c>
      <c r="Q3" s="8">
        <v>32</v>
      </c>
      <c r="R3" s="8">
        <v>24</v>
      </c>
      <c r="S3" s="8">
        <v>1E-3</v>
      </c>
      <c r="T3" s="8">
        <v>1.0000000000000001E-5</v>
      </c>
      <c r="U3" s="8">
        <v>100</v>
      </c>
    </row>
    <row r="4" spans="1:21" x14ac:dyDescent="0.3">
      <c r="A4" s="7" t="s">
        <v>73</v>
      </c>
      <c r="B4" s="8" t="s">
        <v>74</v>
      </c>
      <c r="C4" s="8">
        <v>10</v>
      </c>
      <c r="D4" s="8">
        <v>18</v>
      </c>
      <c r="E4" s="8">
        <v>24</v>
      </c>
      <c r="F4" s="8" t="s">
        <v>70</v>
      </c>
      <c r="G4" s="8">
        <v>5</v>
      </c>
      <c r="H4" s="8"/>
      <c r="I4" s="8">
        <v>3</v>
      </c>
      <c r="J4" s="8">
        <v>64</v>
      </c>
      <c r="K4" s="8">
        <v>6</v>
      </c>
      <c r="L4" s="8">
        <v>3</v>
      </c>
      <c r="M4" s="8">
        <v>3</v>
      </c>
      <c r="N4" s="8">
        <v>32</v>
      </c>
      <c r="O4" s="8">
        <v>4</v>
      </c>
      <c r="P4" s="8">
        <v>1E-3</v>
      </c>
      <c r="Q4" s="8">
        <v>32</v>
      </c>
      <c r="R4" s="8">
        <v>24</v>
      </c>
      <c r="S4" s="8">
        <v>1E-3</v>
      </c>
      <c r="T4" s="8">
        <v>1.0000000000000001E-5</v>
      </c>
      <c r="U4" s="8">
        <v>100</v>
      </c>
    </row>
    <row r="5" spans="1:21" x14ac:dyDescent="0.3">
      <c r="A5" s="7" t="s">
        <v>75</v>
      </c>
      <c r="B5" s="8" t="s">
        <v>76</v>
      </c>
      <c r="C5" s="8">
        <v>10</v>
      </c>
      <c r="D5" s="8">
        <v>12</v>
      </c>
      <c r="E5" s="8">
        <v>24</v>
      </c>
      <c r="F5" s="8" t="s">
        <v>70</v>
      </c>
      <c r="G5" s="8">
        <v>5</v>
      </c>
      <c r="H5" s="8"/>
      <c r="I5" s="8">
        <v>3</v>
      </c>
      <c r="J5" s="8">
        <v>64</v>
      </c>
      <c r="K5" s="8">
        <v>6</v>
      </c>
      <c r="L5" s="8">
        <v>3</v>
      </c>
      <c r="M5" s="8">
        <v>3</v>
      </c>
      <c r="N5" s="8">
        <v>32</v>
      </c>
      <c r="O5" s="8">
        <v>4</v>
      </c>
      <c r="P5" s="8">
        <v>1E-3</v>
      </c>
      <c r="Q5" s="8">
        <v>32</v>
      </c>
      <c r="R5" s="8">
        <v>24</v>
      </c>
      <c r="S5" s="8">
        <v>1E-3</v>
      </c>
      <c r="T5" s="8">
        <v>1.0000000000000001E-5</v>
      </c>
      <c r="U5" s="8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pane xSplit="2" ySplit="3" topLeftCell="C4" activePane="bottomRight" state="frozen"/>
      <selection pane="topRight"/>
      <selection pane="bottomLeft"/>
      <selection pane="bottomRight" activeCell="C18" sqref="C18"/>
    </sheetView>
  </sheetViews>
  <sheetFormatPr defaultRowHeight="14.4" x14ac:dyDescent="0.3"/>
  <cols>
    <col min="1" max="1" width="12" customWidth="1"/>
    <col min="2" max="2" width="26" customWidth="1"/>
    <col min="3" max="6" width="20" customWidth="1"/>
  </cols>
  <sheetData>
    <row r="1" spans="1:6" ht="17.399999999999999" x14ac:dyDescent="0.3">
      <c r="A1" s="39" t="s">
        <v>77</v>
      </c>
      <c r="B1" s="35"/>
      <c r="C1" s="35"/>
      <c r="D1" s="35"/>
      <c r="E1" s="35"/>
      <c r="F1" s="35"/>
    </row>
    <row r="3" spans="1:6" ht="28.05" customHeight="1" x14ac:dyDescent="0.3">
      <c r="A3" s="6" t="s">
        <v>78</v>
      </c>
      <c r="B3" s="6" t="s">
        <v>79</v>
      </c>
      <c r="C3" s="6" t="s">
        <v>80</v>
      </c>
      <c r="D3" s="6" t="s">
        <v>81</v>
      </c>
      <c r="E3" s="6" t="s">
        <v>82</v>
      </c>
      <c r="F3" s="6" t="s">
        <v>83</v>
      </c>
    </row>
    <row r="4" spans="1:6" x14ac:dyDescent="0.3">
      <c r="A4" s="9" t="s">
        <v>30</v>
      </c>
      <c r="B4" s="10" t="s">
        <v>84</v>
      </c>
      <c r="C4" s="11">
        <v>100</v>
      </c>
      <c r="D4" s="11">
        <v>99.96605717429216</v>
      </c>
      <c r="E4" s="11">
        <v>100</v>
      </c>
      <c r="F4" s="11">
        <v>100</v>
      </c>
    </row>
    <row r="5" spans="1:6" x14ac:dyDescent="0.3">
      <c r="A5" s="9" t="s">
        <v>30</v>
      </c>
      <c r="B5" s="10" t="s">
        <v>85</v>
      </c>
      <c r="C5" s="11">
        <v>100</v>
      </c>
      <c r="D5" s="11">
        <v>100</v>
      </c>
      <c r="E5" s="11">
        <v>100</v>
      </c>
      <c r="F5" s="11">
        <v>100</v>
      </c>
    </row>
    <row r="6" spans="1:6" x14ac:dyDescent="0.3">
      <c r="A6" s="9" t="s">
        <v>30</v>
      </c>
      <c r="B6" s="10" t="s">
        <v>86</v>
      </c>
      <c r="C6" s="12">
        <v>0</v>
      </c>
      <c r="D6" s="12">
        <v>0</v>
      </c>
      <c r="E6" s="12">
        <v>0</v>
      </c>
      <c r="F6" s="12">
        <v>0</v>
      </c>
    </row>
    <row r="7" spans="1:6" x14ac:dyDescent="0.3">
      <c r="A7" s="9" t="s">
        <v>30</v>
      </c>
      <c r="B7" s="10" t="s">
        <v>87</v>
      </c>
      <c r="C7" s="13">
        <v>0</v>
      </c>
      <c r="D7" s="13">
        <v>0</v>
      </c>
      <c r="E7" s="13">
        <v>0</v>
      </c>
      <c r="F7" s="13">
        <v>0</v>
      </c>
    </row>
    <row r="8" spans="1:6" x14ac:dyDescent="0.3">
      <c r="A8" s="9" t="s">
        <v>30</v>
      </c>
      <c r="B8" s="10" t="s">
        <v>88</v>
      </c>
      <c r="C8" s="14">
        <v>5.5414821291960257</v>
      </c>
      <c r="D8" s="14">
        <v>3.2732455390439612</v>
      </c>
      <c r="E8" s="14">
        <v>5.5704747575492606</v>
      </c>
      <c r="F8" s="14">
        <v>3.28875064074506</v>
      </c>
    </row>
    <row r="9" spans="1:6" x14ac:dyDescent="0.3">
      <c r="A9" s="9" t="s">
        <v>30</v>
      </c>
      <c r="B9" s="10" t="s">
        <v>89</v>
      </c>
      <c r="C9" s="14">
        <v>12.19734872053532</v>
      </c>
      <c r="D9" s="14">
        <v>12.1805830979322</v>
      </c>
      <c r="E9" s="14">
        <v>6.3303206860955354</v>
      </c>
      <c r="F9" s="14">
        <v>6.3405595712462048</v>
      </c>
    </row>
    <row r="10" spans="1:6" x14ac:dyDescent="0.3">
      <c r="A10" s="9" t="s">
        <v>30</v>
      </c>
      <c r="B10" s="10" t="s">
        <v>90</v>
      </c>
      <c r="C10" s="15">
        <v>1967.4</v>
      </c>
      <c r="D10" s="15">
        <v>1162.8</v>
      </c>
      <c r="E10" s="15">
        <v>392.46666666666658</v>
      </c>
      <c r="F10" s="15">
        <v>231.8</v>
      </c>
    </row>
    <row r="12" spans="1:6" x14ac:dyDescent="0.3">
      <c r="A12" s="16" t="s">
        <v>32</v>
      </c>
      <c r="B12" s="7" t="s">
        <v>84</v>
      </c>
      <c r="C12" s="17">
        <v>99.848809763721675</v>
      </c>
      <c r="D12" s="17">
        <v>99.848809763721675</v>
      </c>
      <c r="E12" s="17">
        <v>99.725128716160114</v>
      </c>
      <c r="F12" s="17">
        <v>99.725128716160114</v>
      </c>
    </row>
    <row r="13" spans="1:6" x14ac:dyDescent="0.3">
      <c r="A13" s="16" t="s">
        <v>32</v>
      </c>
      <c r="B13" s="7" t="s">
        <v>85</v>
      </c>
      <c r="C13" s="17">
        <v>1.7157874801138731</v>
      </c>
      <c r="D13" s="17">
        <v>1.687837161610376</v>
      </c>
      <c r="E13" s="17">
        <v>1.6489288415567001</v>
      </c>
      <c r="F13" s="17">
        <v>1.66079798612577</v>
      </c>
    </row>
    <row r="14" spans="1:6" x14ac:dyDescent="0.3">
      <c r="A14" s="16" t="s">
        <v>32</v>
      </c>
      <c r="B14" s="7" t="s">
        <v>86</v>
      </c>
      <c r="C14" s="18">
        <v>67501.399999999994</v>
      </c>
      <c r="D14" s="18">
        <v>68603.8</v>
      </c>
      <c r="E14" s="18">
        <v>12574.8</v>
      </c>
      <c r="F14" s="18">
        <v>12519.2</v>
      </c>
    </row>
    <row r="15" spans="1:6" x14ac:dyDescent="0.3">
      <c r="A15" s="16" t="s">
        <v>32</v>
      </c>
      <c r="B15" s="7" t="s">
        <v>87</v>
      </c>
      <c r="C15" s="19">
        <v>57.399149659863951</v>
      </c>
      <c r="D15" s="19">
        <v>58.336564625850343</v>
      </c>
      <c r="E15" s="19">
        <v>58.216666666666683</v>
      </c>
      <c r="F15" s="19">
        <v>57.959259259259262</v>
      </c>
    </row>
    <row r="16" spans="1:6" x14ac:dyDescent="0.3">
      <c r="A16" s="16" t="s">
        <v>32</v>
      </c>
      <c r="B16" s="7" t="s">
        <v>88</v>
      </c>
      <c r="C16" s="20">
        <v>7.875483904676587</v>
      </c>
      <c r="D16" s="20">
        <v>7.8703668315382114</v>
      </c>
      <c r="E16" s="20">
        <v>7.8327138167711698</v>
      </c>
      <c r="F16" s="20">
        <v>7.8037622050430233</v>
      </c>
    </row>
    <row r="17" spans="1:6" x14ac:dyDescent="0.3">
      <c r="A17" s="16" t="s">
        <v>32</v>
      </c>
      <c r="B17" s="7" t="s">
        <v>89</v>
      </c>
      <c r="C17" s="20">
        <v>14.190117877891209</v>
      </c>
      <c r="D17" s="20">
        <v>13.625921522166619</v>
      </c>
      <c r="E17" s="20">
        <v>8.0073574897076867</v>
      </c>
      <c r="F17" s="20">
        <v>7.4953952470297294</v>
      </c>
    </row>
    <row r="18" spans="1:6" x14ac:dyDescent="0.3">
      <c r="A18" s="16" t="s">
        <v>32</v>
      </c>
      <c r="B18" s="7" t="s">
        <v>90</v>
      </c>
      <c r="C18" s="21">
        <v>1186891.5</v>
      </c>
      <c r="D18" s="21">
        <v>1183439.7</v>
      </c>
      <c r="E18" s="21">
        <v>241279.8</v>
      </c>
      <c r="F18" s="21">
        <v>240940</v>
      </c>
    </row>
    <row r="20" spans="1:6" x14ac:dyDescent="0.3">
      <c r="A20" s="16" t="s">
        <v>34</v>
      </c>
      <c r="B20" s="7" t="s">
        <v>84</v>
      </c>
      <c r="C20" s="17">
        <v>100</v>
      </c>
      <c r="D20" s="17">
        <v>100</v>
      </c>
      <c r="E20" s="17">
        <v>100</v>
      </c>
      <c r="F20" s="17">
        <v>100</v>
      </c>
    </row>
    <row r="21" spans="1:6" x14ac:dyDescent="0.3">
      <c r="A21" s="16" t="s">
        <v>34</v>
      </c>
      <c r="B21" s="7" t="s">
        <v>85</v>
      </c>
      <c r="C21" s="17">
        <v>2.2904376186369881</v>
      </c>
      <c r="D21" s="17">
        <v>2.2903098461420068</v>
      </c>
      <c r="E21" s="17">
        <v>2.2466273058207422</v>
      </c>
      <c r="F21" s="17">
        <v>2.2480481471660139</v>
      </c>
    </row>
    <row r="22" spans="1:6" x14ac:dyDescent="0.3">
      <c r="A22" s="16" t="s">
        <v>34</v>
      </c>
      <c r="B22" s="7" t="s">
        <v>86</v>
      </c>
      <c r="C22" s="18">
        <v>50303</v>
      </c>
      <c r="D22" s="18">
        <v>50305.8</v>
      </c>
      <c r="E22" s="18">
        <v>9194.2000000000007</v>
      </c>
      <c r="F22" s="18">
        <v>9188.4</v>
      </c>
    </row>
    <row r="23" spans="1:6" x14ac:dyDescent="0.3">
      <c r="A23" s="16" t="s">
        <v>34</v>
      </c>
      <c r="B23" s="7" t="s">
        <v>87</v>
      </c>
      <c r="C23" s="19">
        <v>42.77465986394558</v>
      </c>
      <c r="D23" s="19">
        <v>42.777040816326533</v>
      </c>
      <c r="E23" s="19">
        <v>42.565740740740743</v>
      </c>
      <c r="F23" s="19">
        <v>42.538888888888877</v>
      </c>
    </row>
    <row r="24" spans="1:6" x14ac:dyDescent="0.3">
      <c r="A24" s="16" t="s">
        <v>34</v>
      </c>
      <c r="B24" s="7" t="s">
        <v>88</v>
      </c>
      <c r="C24" s="20">
        <v>5.1795108131132848</v>
      </c>
      <c r="D24" s="20">
        <v>5.631588775227323</v>
      </c>
      <c r="E24" s="20">
        <v>5.1235904197401698</v>
      </c>
      <c r="F24" s="20">
        <v>5.656685336308902</v>
      </c>
    </row>
    <row r="25" spans="1:6" x14ac:dyDescent="0.3">
      <c r="A25" s="16" t="s">
        <v>34</v>
      </c>
      <c r="B25" s="7" t="s">
        <v>89</v>
      </c>
      <c r="C25" s="20">
        <v>14.919171598111591</v>
      </c>
      <c r="D25" s="20">
        <v>14.788122094483169</v>
      </c>
      <c r="E25" s="20">
        <v>8.9564607913178804</v>
      </c>
      <c r="F25" s="20">
        <v>8.9147632414701956</v>
      </c>
    </row>
    <row r="26" spans="1:6" x14ac:dyDescent="0.3">
      <c r="A26" s="16" t="s">
        <v>34</v>
      </c>
      <c r="B26" s="7" t="s">
        <v>90</v>
      </c>
      <c r="C26" s="21">
        <v>715944.33333333337</v>
      </c>
      <c r="D26" s="21">
        <v>716111.7333333334</v>
      </c>
      <c r="E26" s="21">
        <v>145826.4</v>
      </c>
      <c r="F26" s="21">
        <v>145863.66666666669</v>
      </c>
    </row>
    <row r="28" spans="1:6" x14ac:dyDescent="0.3">
      <c r="A28" s="16" t="s">
        <v>36</v>
      </c>
      <c r="B28" s="7" t="s">
        <v>84</v>
      </c>
      <c r="C28" s="17">
        <v>100</v>
      </c>
      <c r="D28" s="17">
        <v>100</v>
      </c>
      <c r="E28" s="17">
        <v>100</v>
      </c>
      <c r="F28" s="17">
        <v>100</v>
      </c>
    </row>
    <row r="29" spans="1:6" x14ac:dyDescent="0.3">
      <c r="A29" s="16" t="s">
        <v>36</v>
      </c>
      <c r="B29" s="7" t="s">
        <v>85</v>
      </c>
      <c r="C29" s="17">
        <v>2.6517530796346951</v>
      </c>
      <c r="D29" s="17">
        <v>2.6518070434894998</v>
      </c>
      <c r="E29" s="17">
        <v>2.587888292202245</v>
      </c>
      <c r="F29" s="17">
        <v>2.5874862383099302</v>
      </c>
    </row>
    <row r="30" spans="1:6" x14ac:dyDescent="0.3">
      <c r="A30" s="16" t="s">
        <v>36</v>
      </c>
      <c r="B30" s="7" t="s">
        <v>86</v>
      </c>
      <c r="C30" s="18">
        <v>43286.6</v>
      </c>
      <c r="D30" s="18">
        <v>43285.8</v>
      </c>
      <c r="E30" s="18">
        <v>7952.2</v>
      </c>
      <c r="F30" s="18">
        <v>7953.4</v>
      </c>
    </row>
    <row r="31" spans="1:6" x14ac:dyDescent="0.3">
      <c r="A31" s="16" t="s">
        <v>36</v>
      </c>
      <c r="B31" s="7" t="s">
        <v>87</v>
      </c>
      <c r="C31" s="19">
        <v>36.808333333333337</v>
      </c>
      <c r="D31" s="19">
        <v>36.807653061224492</v>
      </c>
      <c r="E31" s="19">
        <v>36.815740740740743</v>
      </c>
      <c r="F31" s="19">
        <v>36.821296296296303</v>
      </c>
    </row>
    <row r="32" spans="1:6" x14ac:dyDescent="0.3">
      <c r="A32" s="16" t="s">
        <v>36</v>
      </c>
      <c r="B32" s="7" t="s">
        <v>88</v>
      </c>
      <c r="C32" s="20">
        <v>4.9089335887363763</v>
      </c>
      <c r="D32" s="20">
        <v>5.5212934727095213</v>
      </c>
      <c r="E32" s="20">
        <v>4.8598073122817516</v>
      </c>
      <c r="F32" s="20">
        <v>5.4765233317357431</v>
      </c>
    </row>
    <row r="33" spans="1:6" x14ac:dyDescent="0.3">
      <c r="A33" s="16" t="s">
        <v>36</v>
      </c>
      <c r="B33" s="7" t="s">
        <v>89</v>
      </c>
      <c r="C33" s="20">
        <v>16.162551294403531</v>
      </c>
      <c r="D33" s="20">
        <v>15.705645091599891</v>
      </c>
      <c r="E33" s="20">
        <v>10.18482288049085</v>
      </c>
      <c r="F33" s="20">
        <v>9.773065697450777</v>
      </c>
    </row>
    <row r="34" spans="1:6" x14ac:dyDescent="0.3">
      <c r="A34" s="16" t="s">
        <v>36</v>
      </c>
      <c r="B34" s="7" t="s">
        <v>90</v>
      </c>
      <c r="C34" s="21">
        <v>737013.40000000014</v>
      </c>
      <c r="D34" s="21">
        <v>737227.53333333344</v>
      </c>
      <c r="E34" s="21">
        <v>150029.79999999999</v>
      </c>
      <c r="F34" s="21">
        <v>150073.26666666669</v>
      </c>
    </row>
    <row r="36" spans="1:6" x14ac:dyDescent="0.3">
      <c r="A36" s="16" t="s">
        <v>38</v>
      </c>
      <c r="B36" s="7" t="s">
        <v>84</v>
      </c>
      <c r="C36" s="17">
        <v>70.813660252205892</v>
      </c>
      <c r="D36" s="17">
        <v>51.082001020413351</v>
      </c>
      <c r="E36" s="17">
        <v>68.143838933463684</v>
      </c>
      <c r="F36" s="17">
        <v>51.304849001310423</v>
      </c>
    </row>
    <row r="37" spans="1:6" x14ac:dyDescent="0.3">
      <c r="A37" s="16" t="s">
        <v>38</v>
      </c>
      <c r="B37" s="7" t="s">
        <v>85</v>
      </c>
      <c r="C37" s="17">
        <v>1.7825747522430779</v>
      </c>
      <c r="D37" s="17">
        <v>1.2579215508279269</v>
      </c>
      <c r="E37" s="17">
        <v>1.7048006491683381</v>
      </c>
      <c r="F37" s="17">
        <v>1.2796869477182859</v>
      </c>
    </row>
    <row r="38" spans="1:6" x14ac:dyDescent="0.3">
      <c r="A38" s="16" t="s">
        <v>38</v>
      </c>
      <c r="B38" s="7" t="s">
        <v>86</v>
      </c>
      <c r="C38" s="18">
        <v>46029.8</v>
      </c>
      <c r="D38" s="18">
        <v>47348.2</v>
      </c>
      <c r="E38" s="18">
        <v>8437.6</v>
      </c>
      <c r="F38" s="18">
        <v>8441.2000000000007</v>
      </c>
    </row>
    <row r="39" spans="1:6" x14ac:dyDescent="0.3">
      <c r="A39" s="16" t="s">
        <v>38</v>
      </c>
      <c r="B39" s="7" t="s">
        <v>87</v>
      </c>
      <c r="C39" s="19">
        <v>39.140986394557828</v>
      </c>
      <c r="D39" s="19">
        <v>40.262074829931983</v>
      </c>
      <c r="E39" s="19">
        <v>39.062962962962963</v>
      </c>
      <c r="F39" s="19">
        <v>39.079629629629629</v>
      </c>
    </row>
    <row r="40" spans="1:6" x14ac:dyDescent="0.3">
      <c r="A40" s="16" t="s">
        <v>38</v>
      </c>
      <c r="B40" s="7" t="s">
        <v>88</v>
      </c>
      <c r="C40" s="20">
        <v>2.0190823520542049</v>
      </c>
      <c r="D40" s="20">
        <v>2.1294761682206969</v>
      </c>
      <c r="E40" s="20">
        <v>2.0192253688877129</v>
      </c>
      <c r="F40" s="20">
        <v>2.1973374372832919</v>
      </c>
    </row>
    <row r="41" spans="1:6" x14ac:dyDescent="0.3">
      <c r="A41" s="16" t="s">
        <v>38</v>
      </c>
      <c r="B41" s="7" t="s">
        <v>89</v>
      </c>
      <c r="C41" s="20">
        <v>20.11084138696344</v>
      </c>
      <c r="D41" s="20">
        <v>18.120912397048759</v>
      </c>
      <c r="E41" s="20">
        <v>13.891886560890271</v>
      </c>
      <c r="F41" s="20">
        <v>12.231736618230061</v>
      </c>
    </row>
    <row r="42" spans="1:6" x14ac:dyDescent="0.3">
      <c r="A42" s="16" t="s">
        <v>38</v>
      </c>
      <c r="B42" s="7" t="s">
        <v>90</v>
      </c>
      <c r="C42" s="21">
        <v>55096.25</v>
      </c>
      <c r="D42" s="21">
        <v>56956.166666666657</v>
      </c>
      <c r="E42" s="21">
        <v>12213.33333333333</v>
      </c>
      <c r="F42" s="21">
        <v>12214.33333333333</v>
      </c>
    </row>
    <row r="45" spans="1:6" ht="31.95" customHeight="1" x14ac:dyDescent="0.3">
      <c r="A45" s="38" t="s">
        <v>91</v>
      </c>
      <c r="B45" s="35"/>
      <c r="C45" s="35"/>
      <c r="D45" s="35"/>
      <c r="E45" s="35"/>
      <c r="F45" s="35"/>
    </row>
  </sheetData>
  <mergeCells count="2">
    <mergeCell ref="A45:F4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pane xSplit="1" ySplit="5" topLeftCell="B6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26" customWidth="1"/>
    <col min="2" max="2" width="20" customWidth="1"/>
    <col min="3" max="3" width="22" customWidth="1"/>
    <col min="4" max="4" width="21" customWidth="1"/>
    <col min="5" max="5" width="22" customWidth="1"/>
    <col min="6" max="6" width="20" customWidth="1"/>
    <col min="7" max="7" width="22" customWidth="1"/>
    <col min="8" max="8" width="21" customWidth="1"/>
    <col min="9" max="9" width="22" customWidth="1"/>
    <col min="10" max="10" width="20" customWidth="1"/>
    <col min="11" max="11" width="22" customWidth="1"/>
  </cols>
  <sheetData>
    <row r="1" spans="1:11" ht="17.399999999999999" x14ac:dyDescent="0.3">
      <c r="A1" s="39" t="s">
        <v>92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3">
      <c r="A2" s="36" t="s">
        <v>93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28.05" customHeight="1" x14ac:dyDescent="0.3">
      <c r="A4" s="6" t="s">
        <v>79</v>
      </c>
      <c r="B4" s="40" t="s">
        <v>30</v>
      </c>
      <c r="C4" s="40"/>
      <c r="D4" s="40" t="s">
        <v>32</v>
      </c>
      <c r="E4" s="40"/>
      <c r="F4" s="40" t="s">
        <v>34</v>
      </c>
      <c r="G4" s="40"/>
      <c r="H4" s="40" t="s">
        <v>36</v>
      </c>
      <c r="I4" s="40"/>
      <c r="J4" s="40" t="s">
        <v>38</v>
      </c>
      <c r="K4" s="40"/>
    </row>
    <row r="5" spans="1:11" ht="18" customHeight="1" x14ac:dyDescent="0.3">
      <c r="A5" s="22"/>
      <c r="B5" s="22" t="s">
        <v>94</v>
      </c>
      <c r="C5" s="22" t="s">
        <v>95</v>
      </c>
      <c r="D5" s="22" t="s">
        <v>94</v>
      </c>
      <c r="E5" s="22" t="s">
        <v>95</v>
      </c>
      <c r="F5" s="22" t="s">
        <v>94</v>
      </c>
      <c r="G5" s="22" t="s">
        <v>95</v>
      </c>
      <c r="H5" s="22" t="s">
        <v>94</v>
      </c>
      <c r="I5" s="22" t="s">
        <v>95</v>
      </c>
      <c r="J5" s="22" t="s">
        <v>94</v>
      </c>
      <c r="K5" s="22" t="s">
        <v>95</v>
      </c>
    </row>
    <row r="6" spans="1:11" x14ac:dyDescent="0.3">
      <c r="A6" s="7" t="s">
        <v>96</v>
      </c>
      <c r="B6" s="12">
        <v>1179.2</v>
      </c>
      <c r="C6" s="12">
        <v>22.885803459787031</v>
      </c>
      <c r="D6" s="18">
        <v>1177.4000000000001</v>
      </c>
      <c r="E6" s="18">
        <v>22.014540649307222</v>
      </c>
      <c r="F6" s="18">
        <v>1179.2</v>
      </c>
      <c r="G6" s="18">
        <v>22.885803459787031</v>
      </c>
      <c r="H6" s="18">
        <v>1179.2</v>
      </c>
      <c r="I6" s="18">
        <v>22.885803459787031</v>
      </c>
      <c r="J6" s="18">
        <v>835</v>
      </c>
      <c r="K6" s="18">
        <v>36.342812219199537</v>
      </c>
    </row>
    <row r="7" spans="1:11" x14ac:dyDescent="0.3">
      <c r="A7" s="7" t="s">
        <v>84</v>
      </c>
      <c r="B7" s="11">
        <v>100</v>
      </c>
      <c r="C7" s="11">
        <v>0</v>
      </c>
      <c r="D7" s="17">
        <v>99.848809763721675</v>
      </c>
      <c r="E7" s="17">
        <v>0.13373354141617069</v>
      </c>
      <c r="F7" s="17">
        <v>100</v>
      </c>
      <c r="G7" s="17">
        <v>0</v>
      </c>
      <c r="H7" s="17">
        <v>100</v>
      </c>
      <c r="I7" s="17">
        <v>0</v>
      </c>
      <c r="J7" s="17">
        <v>70.813660252205892</v>
      </c>
      <c r="K7" s="17">
        <v>2.796540209454534</v>
      </c>
    </row>
    <row r="8" spans="1:11" x14ac:dyDescent="0.3">
      <c r="A8" s="7" t="s">
        <v>97</v>
      </c>
      <c r="B8" s="11">
        <v>0</v>
      </c>
      <c r="C8" s="11">
        <v>0</v>
      </c>
      <c r="D8" s="17">
        <v>0.15119023627833419</v>
      </c>
      <c r="E8" s="17">
        <v>0.13373354141616919</v>
      </c>
      <c r="F8" s="17">
        <v>0</v>
      </c>
      <c r="G8" s="17">
        <v>0</v>
      </c>
      <c r="H8" s="17">
        <v>0</v>
      </c>
      <c r="I8" s="17">
        <v>0</v>
      </c>
      <c r="J8" s="17">
        <v>29.186339747794101</v>
      </c>
      <c r="K8" s="17">
        <v>2.7965402094545389</v>
      </c>
    </row>
    <row r="9" spans="1:11" x14ac:dyDescent="0.3">
      <c r="A9" s="7" t="s">
        <v>86</v>
      </c>
      <c r="B9" s="12">
        <v>0</v>
      </c>
      <c r="C9" s="12">
        <v>0</v>
      </c>
      <c r="D9" s="18">
        <v>67501.399999999994</v>
      </c>
      <c r="E9" s="18">
        <v>1706.214593771839</v>
      </c>
      <c r="F9" s="18">
        <v>50303</v>
      </c>
      <c r="G9" s="18">
        <v>129.5484465364213</v>
      </c>
      <c r="H9" s="18">
        <v>43286.6</v>
      </c>
      <c r="I9" s="18">
        <v>330.94869693050617</v>
      </c>
      <c r="J9" s="18">
        <v>46029.8</v>
      </c>
      <c r="K9" s="18">
        <v>1918.8075880608769</v>
      </c>
    </row>
    <row r="10" spans="1:11" x14ac:dyDescent="0.3">
      <c r="A10" s="7" t="s">
        <v>85</v>
      </c>
      <c r="B10" s="11">
        <v>100</v>
      </c>
      <c r="C10" s="11">
        <v>0</v>
      </c>
      <c r="D10" s="17">
        <v>1.7157874801138731</v>
      </c>
      <c r="E10" s="17">
        <v>6.3983556012418855E-2</v>
      </c>
      <c r="F10" s="17">
        <v>2.2904376186369881</v>
      </c>
      <c r="G10" s="17">
        <v>4.0674103252465517E-2</v>
      </c>
      <c r="H10" s="17">
        <v>2.6517530796346951</v>
      </c>
      <c r="I10" s="17">
        <v>3.621076152556333E-2</v>
      </c>
      <c r="J10" s="17">
        <v>1.7825747522430779</v>
      </c>
      <c r="K10" s="17">
        <v>5.7981557946919837E-2</v>
      </c>
    </row>
    <row r="11" spans="1:11" x14ac:dyDescent="0.3">
      <c r="A11" s="7" t="s">
        <v>87</v>
      </c>
      <c r="B11" s="13">
        <v>0</v>
      </c>
      <c r="C11" s="13">
        <v>0</v>
      </c>
      <c r="D11" s="19">
        <v>57.399149659863951</v>
      </c>
      <c r="E11" s="19">
        <v>1.450862749805981</v>
      </c>
      <c r="F11" s="19">
        <v>42.77465986394558</v>
      </c>
      <c r="G11" s="19">
        <v>0.11016024365342079</v>
      </c>
      <c r="H11" s="19">
        <v>36.808333333333337</v>
      </c>
      <c r="I11" s="19">
        <v>0.28141895997491978</v>
      </c>
      <c r="J11" s="19">
        <v>39.140986394557828</v>
      </c>
      <c r="K11" s="19">
        <v>1.631639105493943</v>
      </c>
    </row>
    <row r="12" spans="1:11" x14ac:dyDescent="0.3">
      <c r="A12" s="7" t="s">
        <v>98</v>
      </c>
      <c r="B12" s="12">
        <v>6534.6</v>
      </c>
      <c r="C12" s="12">
        <v>131.3538731823314</v>
      </c>
      <c r="D12" s="18">
        <v>9272.7999999999993</v>
      </c>
      <c r="E12" s="18">
        <v>193.50596890018659</v>
      </c>
      <c r="F12" s="18">
        <v>6107.2</v>
      </c>
      <c r="G12" s="18">
        <v>98.420323104529587</v>
      </c>
      <c r="H12" s="18">
        <v>5788.4</v>
      </c>
      <c r="I12" s="18">
        <v>104.8744010709954</v>
      </c>
      <c r="J12" s="18">
        <v>1686</v>
      </c>
      <c r="K12" s="18">
        <v>75.543365029630493</v>
      </c>
    </row>
    <row r="13" spans="1:11" x14ac:dyDescent="0.3">
      <c r="A13" s="7" t="s">
        <v>99</v>
      </c>
      <c r="B13" s="12">
        <v>0</v>
      </c>
      <c r="C13" s="12">
        <v>0</v>
      </c>
      <c r="D13" s="18">
        <v>2622283.7999999998</v>
      </c>
      <c r="E13" s="18">
        <v>11103.476958142441</v>
      </c>
      <c r="F13" s="18">
        <v>2374957.6</v>
      </c>
      <c r="G13" s="18">
        <v>794.96128207605182</v>
      </c>
      <c r="H13" s="18">
        <v>2445416.2000000002</v>
      </c>
      <c r="I13" s="18">
        <v>1129.3391696031799</v>
      </c>
      <c r="J13" s="18">
        <v>144164.6</v>
      </c>
      <c r="K13" s="18">
        <v>7680.5946801012742</v>
      </c>
    </row>
    <row r="14" spans="1:11" x14ac:dyDescent="0.3">
      <c r="A14" s="7" t="s">
        <v>88</v>
      </c>
      <c r="B14" s="14">
        <v>5.5414821291960257</v>
      </c>
      <c r="C14" s="14">
        <v>9.7859802355911765E-3</v>
      </c>
      <c r="D14" s="20">
        <v>7.875483904676587</v>
      </c>
      <c r="E14" s="20">
        <v>5.2678491000618471E-2</v>
      </c>
      <c r="F14" s="20">
        <v>5.1795108131132848</v>
      </c>
      <c r="G14" s="20">
        <v>3.2526883924962391E-2</v>
      </c>
      <c r="H14" s="20">
        <v>4.9089335887363763</v>
      </c>
      <c r="I14" s="20">
        <v>2.4769190550040222E-2</v>
      </c>
      <c r="J14" s="20">
        <v>2.0190823520542049</v>
      </c>
      <c r="K14" s="20">
        <v>1.394320206402264E-2</v>
      </c>
    </row>
    <row r="15" spans="1:11" x14ac:dyDescent="0.3">
      <c r="A15" s="7" t="s">
        <v>100</v>
      </c>
      <c r="B15" s="14">
        <v>0</v>
      </c>
      <c r="C15" s="14">
        <v>0</v>
      </c>
      <c r="D15" s="20">
        <v>2229.8331632653062</v>
      </c>
      <c r="E15" s="20">
        <v>9.4417321072639382</v>
      </c>
      <c r="F15" s="20">
        <v>2019.521768707483</v>
      </c>
      <c r="G15" s="20">
        <v>0.67598748475853565</v>
      </c>
      <c r="H15" s="20">
        <v>2079.435544217687</v>
      </c>
      <c r="I15" s="20">
        <v>0.96032242313190908</v>
      </c>
      <c r="J15" s="20">
        <v>122.5889455782313</v>
      </c>
      <c r="K15" s="20">
        <v>6.5311179252561846</v>
      </c>
    </row>
    <row r="16" spans="1:11" x14ac:dyDescent="0.3">
      <c r="A16" s="7" t="s">
        <v>101</v>
      </c>
      <c r="B16" s="13">
        <v>100</v>
      </c>
      <c r="C16" s="13">
        <v>0</v>
      </c>
      <c r="D16" s="19">
        <v>0.35235181123510789</v>
      </c>
      <c r="E16" s="19">
        <v>6.3104375569394263E-3</v>
      </c>
      <c r="F16" s="19">
        <v>0.25649126882954071</v>
      </c>
      <c r="G16" s="19">
        <v>4.1920376045894679E-3</v>
      </c>
      <c r="H16" s="19">
        <v>0.23614632288005499</v>
      </c>
      <c r="I16" s="19">
        <v>4.3423867018180873E-3</v>
      </c>
      <c r="J16" s="19">
        <v>1.1587592957761781</v>
      </c>
      <c r="K16" s="19">
        <v>7.2795396450887465E-2</v>
      </c>
    </row>
    <row r="17" spans="1:11" x14ac:dyDescent="0.3">
      <c r="A17" s="7" t="s">
        <v>89</v>
      </c>
      <c r="B17" s="14">
        <v>12.19734872053532</v>
      </c>
      <c r="C17" s="14">
        <v>0.59325041230570319</v>
      </c>
      <c r="D17" s="20">
        <v>14.190117877891209</v>
      </c>
      <c r="E17" s="20">
        <v>0.61404318626574883</v>
      </c>
      <c r="F17" s="20">
        <v>14.919171598111591</v>
      </c>
      <c r="G17" s="20">
        <v>0.57922056665129429</v>
      </c>
      <c r="H17" s="20">
        <v>16.162551294403531</v>
      </c>
      <c r="I17" s="20">
        <v>0.57963416570888227</v>
      </c>
      <c r="J17" s="20">
        <v>20.11084138696344</v>
      </c>
      <c r="K17" s="20">
        <v>0.70196037813154821</v>
      </c>
    </row>
    <row r="18" spans="1:11" x14ac:dyDescent="0.3">
      <c r="A18" s="7" t="s">
        <v>102</v>
      </c>
      <c r="B18" s="14">
        <v>20.1015963259124</v>
      </c>
      <c r="C18" s="14">
        <v>3.2143748695496068</v>
      </c>
      <c r="D18" s="20">
        <v>28.808491118201321</v>
      </c>
      <c r="E18" s="20">
        <v>1.605310947631676</v>
      </c>
      <c r="F18" s="20">
        <v>29.104740022714399</v>
      </c>
      <c r="G18" s="20">
        <v>1.2993035068017891</v>
      </c>
      <c r="H18" s="20">
        <v>29.55640393995419</v>
      </c>
      <c r="I18" s="20">
        <v>2.0223250770247252</v>
      </c>
      <c r="J18" s="20">
        <v>36.51953540009162</v>
      </c>
      <c r="K18" s="20">
        <v>2.9597152819526409</v>
      </c>
    </row>
    <row r="19" spans="1:11" x14ac:dyDescent="0.3">
      <c r="A19" s="7" t="s">
        <v>90</v>
      </c>
      <c r="B19" s="15">
        <v>1967.4</v>
      </c>
      <c r="C19" s="15">
        <v>237.2519898054949</v>
      </c>
      <c r="D19" s="21">
        <v>1186891.5</v>
      </c>
      <c r="E19" s="21">
        <v>157158.6063739431</v>
      </c>
      <c r="F19" s="21">
        <v>715944.33333333337</v>
      </c>
      <c r="G19" s="21">
        <v>94660.631058534578</v>
      </c>
      <c r="H19" s="21">
        <v>737013.40000000014</v>
      </c>
      <c r="I19" s="21">
        <v>97365.823098342807</v>
      </c>
      <c r="J19" s="21">
        <v>55096.25</v>
      </c>
      <c r="K19" s="21">
        <v>4898.1739936656204</v>
      </c>
    </row>
  </sheetData>
  <mergeCells count="7">
    <mergeCell ref="A1:K1"/>
    <mergeCell ref="B4:C4"/>
    <mergeCell ref="F4:G4"/>
    <mergeCell ref="J4:K4"/>
    <mergeCell ref="A2:K2"/>
    <mergeCell ref="D4:E4"/>
    <mergeCell ref="H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>
      <pane xSplit="1" ySplit="5" topLeftCell="B6" activePane="bottomRight" state="frozen"/>
      <selection pane="topRight"/>
      <selection pane="bottomLeft"/>
      <selection pane="bottomRight" activeCell="K9" sqref="K9"/>
    </sheetView>
  </sheetViews>
  <sheetFormatPr defaultRowHeight="14.4" x14ac:dyDescent="0.3"/>
  <cols>
    <col min="1" max="1" width="26" customWidth="1"/>
    <col min="2" max="2" width="21" customWidth="1"/>
    <col min="3" max="3" width="22" customWidth="1"/>
    <col min="4" max="4" width="21" customWidth="1"/>
    <col min="5" max="5" width="22" customWidth="1"/>
    <col min="6" max="6" width="20" customWidth="1"/>
    <col min="7" max="7" width="23" customWidth="1"/>
    <col min="8" max="8" width="20" customWidth="1"/>
    <col min="9" max="9" width="22" customWidth="1"/>
    <col min="10" max="10" width="20" customWidth="1"/>
    <col min="11" max="11" width="22" customWidth="1"/>
  </cols>
  <sheetData>
    <row r="1" spans="1:11" ht="17.399999999999999" x14ac:dyDescent="0.3">
      <c r="A1" s="39" t="s">
        <v>103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3">
      <c r="A2" s="36" t="s">
        <v>93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28.05" customHeight="1" x14ac:dyDescent="0.3">
      <c r="A4" s="6" t="s">
        <v>79</v>
      </c>
      <c r="B4" s="40" t="s">
        <v>30</v>
      </c>
      <c r="C4" s="40"/>
      <c r="D4" s="40" t="s">
        <v>32</v>
      </c>
      <c r="E4" s="40"/>
      <c r="F4" s="40" t="s">
        <v>34</v>
      </c>
      <c r="G4" s="40"/>
      <c r="H4" s="40" t="s">
        <v>36</v>
      </c>
      <c r="I4" s="40"/>
      <c r="J4" s="40" t="s">
        <v>38</v>
      </c>
      <c r="K4" s="40"/>
    </row>
    <row r="5" spans="1:11" ht="18" customHeight="1" x14ac:dyDescent="0.3">
      <c r="A5" s="22"/>
      <c r="B5" s="22" t="s">
        <v>94</v>
      </c>
      <c r="C5" s="22" t="s">
        <v>95</v>
      </c>
      <c r="D5" s="22" t="s">
        <v>94</v>
      </c>
      <c r="E5" s="22" t="s">
        <v>95</v>
      </c>
      <c r="F5" s="22" t="s">
        <v>94</v>
      </c>
      <c r="G5" s="22" t="s">
        <v>95</v>
      </c>
      <c r="H5" s="22" t="s">
        <v>94</v>
      </c>
      <c r="I5" s="22" t="s">
        <v>95</v>
      </c>
      <c r="J5" s="22" t="s">
        <v>94</v>
      </c>
      <c r="K5" s="22" t="s">
        <v>95</v>
      </c>
    </row>
    <row r="6" spans="1:11" x14ac:dyDescent="0.3">
      <c r="A6" s="7" t="s">
        <v>96</v>
      </c>
      <c r="B6" s="12">
        <v>1178.8</v>
      </c>
      <c r="C6" s="12">
        <v>22.903274875004229</v>
      </c>
      <c r="D6" s="18">
        <v>1177.4000000000001</v>
      </c>
      <c r="E6" s="18">
        <v>22.014540649307222</v>
      </c>
      <c r="F6" s="18">
        <v>1179.2</v>
      </c>
      <c r="G6" s="18">
        <v>22.885803459787031</v>
      </c>
      <c r="H6" s="18">
        <v>1179.2</v>
      </c>
      <c r="I6" s="18">
        <v>22.885803459787031</v>
      </c>
      <c r="J6" s="18">
        <v>602.4</v>
      </c>
      <c r="K6" s="18">
        <v>15.56406116667498</v>
      </c>
    </row>
    <row r="7" spans="1:11" x14ac:dyDescent="0.3">
      <c r="A7" s="7" t="s">
        <v>84</v>
      </c>
      <c r="B7" s="11">
        <v>99.96605717429216</v>
      </c>
      <c r="C7" s="11">
        <v>4.1572704740882087E-2</v>
      </c>
      <c r="D7" s="17">
        <v>99.848809763721675</v>
      </c>
      <c r="E7" s="17">
        <v>0.13373354141617069</v>
      </c>
      <c r="F7" s="17">
        <v>100</v>
      </c>
      <c r="G7" s="17">
        <v>0</v>
      </c>
      <c r="H7" s="17">
        <v>100</v>
      </c>
      <c r="I7" s="17">
        <v>0</v>
      </c>
      <c r="J7" s="17">
        <v>51.082001020413351</v>
      </c>
      <c r="K7" s="17">
        <v>0.62238600608108374</v>
      </c>
    </row>
    <row r="8" spans="1:11" x14ac:dyDescent="0.3">
      <c r="A8" s="7" t="s">
        <v>97</v>
      </c>
      <c r="B8" s="11">
        <v>3.3942825707838242E-2</v>
      </c>
      <c r="C8" s="11">
        <v>4.1572704740880449E-2</v>
      </c>
      <c r="D8" s="17">
        <v>0.15119023627833419</v>
      </c>
      <c r="E8" s="17">
        <v>0.13373354141616919</v>
      </c>
      <c r="F8" s="17">
        <v>0</v>
      </c>
      <c r="G8" s="17">
        <v>0</v>
      </c>
      <c r="H8" s="17">
        <v>0</v>
      </c>
      <c r="I8" s="17">
        <v>0</v>
      </c>
      <c r="J8" s="17">
        <v>48.917998979586649</v>
      </c>
      <c r="K8" s="17">
        <v>0.62238600608108352</v>
      </c>
    </row>
    <row r="9" spans="1:11" x14ac:dyDescent="0.3">
      <c r="A9" s="7" t="s">
        <v>86</v>
      </c>
      <c r="B9" s="12">
        <v>0</v>
      </c>
      <c r="C9" s="12">
        <v>0</v>
      </c>
      <c r="D9" s="18">
        <v>68603.8</v>
      </c>
      <c r="E9" s="18">
        <v>1886.0786197823249</v>
      </c>
      <c r="F9" s="18">
        <v>50305.8</v>
      </c>
      <c r="G9" s="18">
        <v>139.88909893197541</v>
      </c>
      <c r="H9" s="18">
        <v>43285.8</v>
      </c>
      <c r="I9" s="18">
        <v>341.19343487236102</v>
      </c>
      <c r="J9" s="18">
        <v>47348.2</v>
      </c>
      <c r="K9" s="18">
        <v>1692.3202297437681</v>
      </c>
    </row>
    <row r="10" spans="1:11" x14ac:dyDescent="0.3">
      <c r="A10" s="7" t="s">
        <v>85</v>
      </c>
      <c r="B10" s="11">
        <v>100</v>
      </c>
      <c r="C10" s="11">
        <v>0</v>
      </c>
      <c r="D10" s="17">
        <v>1.687837161610376</v>
      </c>
      <c r="E10" s="17">
        <v>2.738689772792146E-2</v>
      </c>
      <c r="F10" s="17">
        <v>2.2903098461420068</v>
      </c>
      <c r="G10" s="17">
        <v>4.0408384468064842E-2</v>
      </c>
      <c r="H10" s="17">
        <v>2.6518070434894998</v>
      </c>
      <c r="I10" s="17">
        <v>3.6326396455286382E-2</v>
      </c>
      <c r="J10" s="17">
        <v>1.2579215508279269</v>
      </c>
      <c r="K10" s="17">
        <v>5.5492371037343183E-2</v>
      </c>
    </row>
    <row r="11" spans="1:11" x14ac:dyDescent="0.3">
      <c r="A11" s="7" t="s">
        <v>87</v>
      </c>
      <c r="B11" s="13">
        <v>0</v>
      </c>
      <c r="C11" s="13">
        <v>0</v>
      </c>
      <c r="D11" s="19">
        <v>58.336564625850343</v>
      </c>
      <c r="E11" s="19">
        <v>1.603808350155038</v>
      </c>
      <c r="F11" s="19">
        <v>42.777040816326533</v>
      </c>
      <c r="G11" s="19">
        <v>0.11895331541834619</v>
      </c>
      <c r="H11" s="19">
        <v>36.807653061224492</v>
      </c>
      <c r="I11" s="19">
        <v>0.29013047183023738</v>
      </c>
      <c r="J11" s="19">
        <v>40.262074829931983</v>
      </c>
      <c r="K11" s="19">
        <v>1.439047814407965</v>
      </c>
    </row>
    <row r="12" spans="1:11" x14ac:dyDescent="0.3">
      <c r="A12" s="7" t="s">
        <v>98</v>
      </c>
      <c r="B12" s="12">
        <v>3858.6</v>
      </c>
      <c r="C12" s="12">
        <v>80.668705208401605</v>
      </c>
      <c r="D12" s="18">
        <v>9266.2000000000007</v>
      </c>
      <c r="E12" s="18">
        <v>158.95710113109129</v>
      </c>
      <c r="F12" s="18">
        <v>6639.8</v>
      </c>
      <c r="G12" s="18">
        <v>83.719531771265906</v>
      </c>
      <c r="H12" s="18">
        <v>6510.2</v>
      </c>
      <c r="I12" s="18">
        <v>103.671403964642</v>
      </c>
      <c r="J12" s="18">
        <v>1282.5999999999999</v>
      </c>
      <c r="K12" s="18">
        <v>37.622333792575922</v>
      </c>
    </row>
    <row r="13" spans="1:11" x14ac:dyDescent="0.3">
      <c r="A13" s="7" t="s">
        <v>99</v>
      </c>
      <c r="B13" s="12">
        <v>0</v>
      </c>
      <c r="C13" s="12">
        <v>0</v>
      </c>
      <c r="D13" s="18">
        <v>2614381.7999999998</v>
      </c>
      <c r="E13" s="18">
        <v>9382.0813767521759</v>
      </c>
      <c r="F13" s="18">
        <v>2374973.4</v>
      </c>
      <c r="G13" s="18">
        <v>760.92144141166114</v>
      </c>
      <c r="H13" s="18">
        <v>2445412.7999999998</v>
      </c>
      <c r="I13" s="18">
        <v>1131.3767542246919</v>
      </c>
      <c r="J13" s="18">
        <v>149793.79999999999</v>
      </c>
      <c r="K13" s="18">
        <v>9480.6146509601367</v>
      </c>
    </row>
    <row r="14" spans="1:11" x14ac:dyDescent="0.3">
      <c r="A14" s="7" t="s">
        <v>88</v>
      </c>
      <c r="B14" s="14">
        <v>3.2732455390439612</v>
      </c>
      <c r="C14" s="14">
        <v>1.0979837135715769E-2</v>
      </c>
      <c r="D14" s="20">
        <v>7.8703668315382114</v>
      </c>
      <c r="E14" s="20">
        <v>3.8046845205726133E-2</v>
      </c>
      <c r="F14" s="20">
        <v>5.631588775227323</v>
      </c>
      <c r="G14" s="20">
        <v>4.781367517037196E-2</v>
      </c>
      <c r="H14" s="20">
        <v>5.5212934727095213</v>
      </c>
      <c r="I14" s="20">
        <v>3.0739783697594079E-2</v>
      </c>
      <c r="J14" s="20">
        <v>2.1294761682206969</v>
      </c>
      <c r="K14" s="20">
        <v>4.8286040860142647E-2</v>
      </c>
    </row>
    <row r="15" spans="1:11" x14ac:dyDescent="0.3">
      <c r="A15" s="7" t="s">
        <v>100</v>
      </c>
      <c r="B15" s="14">
        <v>0</v>
      </c>
      <c r="C15" s="14">
        <v>0</v>
      </c>
      <c r="D15" s="20">
        <v>2223.1137755102041</v>
      </c>
      <c r="E15" s="20">
        <v>7.9779603543811373</v>
      </c>
      <c r="F15" s="20">
        <v>2019.5352040816319</v>
      </c>
      <c r="G15" s="20">
        <v>0.64704204201664772</v>
      </c>
      <c r="H15" s="20">
        <v>2079.4326530612238</v>
      </c>
      <c r="I15" s="20">
        <v>0.9620550631162943</v>
      </c>
      <c r="J15" s="20">
        <v>127.3756802721088</v>
      </c>
      <c r="K15" s="20">
        <v>8.0617471521769897</v>
      </c>
    </row>
    <row r="16" spans="1:11" x14ac:dyDescent="0.3">
      <c r="A16" s="7" t="s">
        <v>101</v>
      </c>
      <c r="B16" s="13">
        <v>100</v>
      </c>
      <c r="C16" s="13">
        <v>0</v>
      </c>
      <c r="D16" s="19">
        <v>0.35319789645192767</v>
      </c>
      <c r="E16" s="19">
        <v>6.892283782354628E-3</v>
      </c>
      <c r="F16" s="19">
        <v>0.27879493241957409</v>
      </c>
      <c r="G16" s="19">
        <v>3.5694858042945939E-3</v>
      </c>
      <c r="H16" s="19">
        <v>0.26551531136777567</v>
      </c>
      <c r="I16" s="19">
        <v>4.3051801881363793E-3</v>
      </c>
      <c r="J16" s="19">
        <v>0.8511688700283685</v>
      </c>
      <c r="K16" s="19">
        <v>4.027920536253897E-2</v>
      </c>
    </row>
    <row r="17" spans="1:11" x14ac:dyDescent="0.3">
      <c r="A17" s="7" t="s">
        <v>89</v>
      </c>
      <c r="B17" s="14">
        <v>12.1805830979322</v>
      </c>
      <c r="C17" s="14">
        <v>0.57317575819027988</v>
      </c>
      <c r="D17" s="20">
        <v>13.625921522166619</v>
      </c>
      <c r="E17" s="20">
        <v>0.58937765953464782</v>
      </c>
      <c r="F17" s="20">
        <v>14.788122094483169</v>
      </c>
      <c r="G17" s="20">
        <v>0.59889824266019853</v>
      </c>
      <c r="H17" s="20">
        <v>15.705645091599891</v>
      </c>
      <c r="I17" s="20">
        <v>0.60023717082250694</v>
      </c>
      <c r="J17" s="20">
        <v>18.120912397048759</v>
      </c>
      <c r="K17" s="20">
        <v>0.45357254356358162</v>
      </c>
    </row>
    <row r="18" spans="1:11" x14ac:dyDescent="0.3">
      <c r="A18" s="7" t="s">
        <v>102</v>
      </c>
      <c r="B18" s="14">
        <v>20.101596325548599</v>
      </c>
      <c r="C18" s="14">
        <v>3.2143748696120271</v>
      </c>
      <c r="D18" s="20">
        <v>25.559866506617251</v>
      </c>
      <c r="E18" s="20">
        <v>1.823608875103466</v>
      </c>
      <c r="F18" s="20">
        <v>30.13531047289143</v>
      </c>
      <c r="G18" s="20">
        <v>1.11555878033529</v>
      </c>
      <c r="H18" s="20">
        <v>29.19592026674944</v>
      </c>
      <c r="I18" s="20">
        <v>1.3307456580321519</v>
      </c>
      <c r="J18" s="20">
        <v>33.411003652020547</v>
      </c>
      <c r="K18" s="20">
        <v>2.016477369222363</v>
      </c>
    </row>
    <row r="19" spans="1:11" x14ac:dyDescent="0.3">
      <c r="A19" s="7" t="s">
        <v>90</v>
      </c>
      <c r="B19" s="15">
        <v>1162.8</v>
      </c>
      <c r="C19" s="15">
        <v>139.25302310702071</v>
      </c>
      <c r="D19" s="21">
        <v>1183439.7</v>
      </c>
      <c r="E19" s="21">
        <v>157588.0322079059</v>
      </c>
      <c r="F19" s="21">
        <v>716111.7333333334</v>
      </c>
      <c r="G19" s="21">
        <v>94668.867042831611</v>
      </c>
      <c r="H19" s="21">
        <v>737227.53333333344</v>
      </c>
      <c r="I19" s="21">
        <v>97397.311865848402</v>
      </c>
      <c r="J19" s="21">
        <v>56956.166666666657</v>
      </c>
      <c r="K19" s="21">
        <v>4157.3700487474307</v>
      </c>
    </row>
  </sheetData>
  <mergeCells count="7">
    <mergeCell ref="A1:K1"/>
    <mergeCell ref="B4:C4"/>
    <mergeCell ref="F4:G4"/>
    <mergeCell ref="J4:K4"/>
    <mergeCell ref="A2:K2"/>
    <mergeCell ref="D4:E4"/>
    <mergeCell ref="H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>
      <pane xSplit="1" ySplit="5" topLeftCell="B6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26" customWidth="1"/>
    <col min="2" max="2" width="20" customWidth="1"/>
    <col min="3" max="4" width="21" customWidth="1"/>
    <col min="5" max="5" width="22" customWidth="1"/>
    <col min="6" max="7" width="21" customWidth="1"/>
    <col min="8" max="8" width="20" customWidth="1"/>
    <col min="9" max="9" width="21" customWidth="1"/>
    <col min="10" max="10" width="20" customWidth="1"/>
    <col min="11" max="11" width="22" customWidth="1"/>
  </cols>
  <sheetData>
    <row r="1" spans="1:11" ht="17.399999999999999" x14ac:dyDescent="0.3">
      <c r="A1" s="39" t="s">
        <v>104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3">
      <c r="A2" s="36" t="s">
        <v>93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28.05" customHeight="1" x14ac:dyDescent="0.3">
      <c r="A4" s="6" t="s">
        <v>79</v>
      </c>
      <c r="B4" s="40" t="s">
        <v>30</v>
      </c>
      <c r="C4" s="40"/>
      <c r="D4" s="40" t="s">
        <v>32</v>
      </c>
      <c r="E4" s="40"/>
      <c r="F4" s="40" t="s">
        <v>34</v>
      </c>
      <c r="G4" s="40"/>
      <c r="H4" s="40" t="s">
        <v>36</v>
      </c>
      <c r="I4" s="40"/>
      <c r="J4" s="40" t="s">
        <v>38</v>
      </c>
      <c r="K4" s="40"/>
    </row>
    <row r="5" spans="1:11" ht="18" customHeight="1" x14ac:dyDescent="0.3">
      <c r="A5" s="22"/>
      <c r="B5" s="22" t="s">
        <v>94</v>
      </c>
      <c r="C5" s="22" t="s">
        <v>95</v>
      </c>
      <c r="D5" s="22" t="s">
        <v>94</v>
      </c>
      <c r="E5" s="22" t="s">
        <v>95</v>
      </c>
      <c r="F5" s="22" t="s">
        <v>94</v>
      </c>
      <c r="G5" s="22" t="s">
        <v>95</v>
      </c>
      <c r="H5" s="22" t="s">
        <v>94</v>
      </c>
      <c r="I5" s="22" t="s">
        <v>95</v>
      </c>
      <c r="J5" s="22" t="s">
        <v>94</v>
      </c>
      <c r="K5" s="22" t="s">
        <v>95</v>
      </c>
    </row>
    <row r="6" spans="1:11" x14ac:dyDescent="0.3">
      <c r="A6" s="7" t="s">
        <v>96</v>
      </c>
      <c r="B6" s="12">
        <v>211.4</v>
      </c>
      <c r="C6" s="12">
        <v>19.683495624507351</v>
      </c>
      <c r="D6" s="18">
        <v>210.8</v>
      </c>
      <c r="E6" s="18">
        <v>19.487431847218861</v>
      </c>
      <c r="F6" s="18">
        <v>211.4</v>
      </c>
      <c r="G6" s="18">
        <v>19.683495624507351</v>
      </c>
      <c r="H6" s="18">
        <v>211.4</v>
      </c>
      <c r="I6" s="18">
        <v>19.683495624507351</v>
      </c>
      <c r="J6" s="18">
        <v>144</v>
      </c>
      <c r="K6" s="18">
        <v>13.66747965061591</v>
      </c>
    </row>
    <row r="7" spans="1:11" x14ac:dyDescent="0.3">
      <c r="A7" s="7" t="s">
        <v>84</v>
      </c>
      <c r="B7" s="11">
        <v>100</v>
      </c>
      <c r="C7" s="11">
        <v>0</v>
      </c>
      <c r="D7" s="17">
        <v>99.725128716160114</v>
      </c>
      <c r="E7" s="17">
        <v>0.36896005588691527</v>
      </c>
      <c r="F7" s="17">
        <v>100</v>
      </c>
      <c r="G7" s="17">
        <v>0</v>
      </c>
      <c r="H7" s="17">
        <v>100</v>
      </c>
      <c r="I7" s="17">
        <v>0</v>
      </c>
      <c r="J7" s="17">
        <v>68.143838933463684</v>
      </c>
      <c r="K7" s="17">
        <v>1.906857514644174</v>
      </c>
    </row>
    <row r="8" spans="1:11" x14ac:dyDescent="0.3">
      <c r="A8" s="7" t="s">
        <v>97</v>
      </c>
      <c r="B8" s="11">
        <v>0</v>
      </c>
      <c r="C8" s="11">
        <v>0</v>
      </c>
      <c r="D8" s="17">
        <v>0.27487128383989368</v>
      </c>
      <c r="E8" s="17">
        <v>0.36896005588691538</v>
      </c>
      <c r="F8" s="17">
        <v>0</v>
      </c>
      <c r="G8" s="17">
        <v>0</v>
      </c>
      <c r="H8" s="17">
        <v>0</v>
      </c>
      <c r="I8" s="17">
        <v>0</v>
      </c>
      <c r="J8" s="17">
        <v>31.856161066536309</v>
      </c>
      <c r="K8" s="17">
        <v>1.906857514644174</v>
      </c>
    </row>
    <row r="9" spans="1:11" x14ac:dyDescent="0.3">
      <c r="A9" s="7" t="s">
        <v>86</v>
      </c>
      <c r="B9" s="12">
        <v>0</v>
      </c>
      <c r="C9" s="12">
        <v>0</v>
      </c>
      <c r="D9" s="18">
        <v>12574.8</v>
      </c>
      <c r="E9" s="18">
        <v>304.30471570450561</v>
      </c>
      <c r="F9" s="18">
        <v>9194.2000000000007</v>
      </c>
      <c r="G9" s="18">
        <v>54.733536337422962</v>
      </c>
      <c r="H9" s="18">
        <v>7952.2</v>
      </c>
      <c r="I9" s="18">
        <v>60.340367914025848</v>
      </c>
      <c r="J9" s="18">
        <v>8437.6</v>
      </c>
      <c r="K9" s="18">
        <v>1120.485537613047</v>
      </c>
    </row>
    <row r="10" spans="1:11" x14ac:dyDescent="0.3">
      <c r="A10" s="7" t="s">
        <v>85</v>
      </c>
      <c r="B10" s="11">
        <v>100</v>
      </c>
      <c r="C10" s="11">
        <v>0</v>
      </c>
      <c r="D10" s="17">
        <v>1.6489288415567001</v>
      </c>
      <c r="E10" s="17">
        <v>0.14779053024876329</v>
      </c>
      <c r="F10" s="17">
        <v>2.2466273058207422</v>
      </c>
      <c r="G10" s="17">
        <v>0.19769998113458029</v>
      </c>
      <c r="H10" s="17">
        <v>2.587888292202245</v>
      </c>
      <c r="I10" s="17">
        <v>0.22197660671537489</v>
      </c>
      <c r="J10" s="17">
        <v>1.7048006491683381</v>
      </c>
      <c r="K10" s="17">
        <v>0.25739725234251348</v>
      </c>
    </row>
    <row r="11" spans="1:11" x14ac:dyDescent="0.3">
      <c r="A11" s="7" t="s">
        <v>87</v>
      </c>
      <c r="B11" s="13">
        <v>0</v>
      </c>
      <c r="C11" s="13">
        <v>0</v>
      </c>
      <c r="D11" s="19">
        <v>58.216666666666683</v>
      </c>
      <c r="E11" s="19">
        <v>1.4088181282615999</v>
      </c>
      <c r="F11" s="19">
        <v>42.565740740740743</v>
      </c>
      <c r="G11" s="19">
        <v>0.2533960015621432</v>
      </c>
      <c r="H11" s="19">
        <v>36.815740740740743</v>
      </c>
      <c r="I11" s="19">
        <v>0.27935355515752669</v>
      </c>
      <c r="J11" s="19">
        <v>39.062962962962963</v>
      </c>
      <c r="K11" s="19">
        <v>5.18743304450485</v>
      </c>
    </row>
    <row r="12" spans="1:11" x14ac:dyDescent="0.3">
      <c r="A12" s="7" t="s">
        <v>98</v>
      </c>
      <c r="B12" s="12">
        <v>1177.4000000000001</v>
      </c>
      <c r="C12" s="12">
        <v>107.89365134242141</v>
      </c>
      <c r="D12" s="18">
        <v>1652</v>
      </c>
      <c r="E12" s="18">
        <v>163.59095329510129</v>
      </c>
      <c r="F12" s="18">
        <v>1082.4000000000001</v>
      </c>
      <c r="G12" s="18">
        <v>93.777609267884415</v>
      </c>
      <c r="H12" s="18">
        <v>1027.2</v>
      </c>
      <c r="I12" s="18">
        <v>95.3003672605725</v>
      </c>
      <c r="J12" s="18">
        <v>290.39999999999998</v>
      </c>
      <c r="K12" s="18">
        <v>24.137936945812079</v>
      </c>
    </row>
    <row r="13" spans="1:11" x14ac:dyDescent="0.3">
      <c r="A13" s="7" t="s">
        <v>99</v>
      </c>
      <c r="B13" s="12">
        <v>0</v>
      </c>
      <c r="C13" s="12">
        <v>0</v>
      </c>
      <c r="D13" s="18">
        <v>480907.6</v>
      </c>
      <c r="E13" s="18">
        <v>1279.0015793578989</v>
      </c>
      <c r="F13" s="18">
        <v>436396.79999999999</v>
      </c>
      <c r="G13" s="18">
        <v>211.80028328592951</v>
      </c>
      <c r="H13" s="18">
        <v>449062.2</v>
      </c>
      <c r="I13" s="18">
        <v>388.078548750121</v>
      </c>
      <c r="J13" s="18">
        <v>29021.599999999999</v>
      </c>
      <c r="K13" s="18">
        <v>4928.1889006003003</v>
      </c>
    </row>
    <row r="14" spans="1:11" x14ac:dyDescent="0.3">
      <c r="A14" s="7" t="s">
        <v>88</v>
      </c>
      <c r="B14" s="14">
        <v>5.5704747575492606</v>
      </c>
      <c r="C14" s="14">
        <v>4.7732038659560057E-2</v>
      </c>
      <c r="D14" s="20">
        <v>7.8327138167711698</v>
      </c>
      <c r="E14" s="20">
        <v>8.8666589255606512E-2</v>
      </c>
      <c r="F14" s="20">
        <v>5.1235904197401698</v>
      </c>
      <c r="G14" s="20">
        <v>8.3592261145887164E-2</v>
      </c>
      <c r="H14" s="20">
        <v>4.8598073122817516</v>
      </c>
      <c r="I14" s="20">
        <v>0.1037052489300887</v>
      </c>
      <c r="J14" s="20">
        <v>2.0192253688877129</v>
      </c>
      <c r="K14" s="20">
        <v>3.9339779329046212E-2</v>
      </c>
    </row>
    <row r="15" spans="1:11" x14ac:dyDescent="0.3">
      <c r="A15" s="7" t="s">
        <v>100</v>
      </c>
      <c r="B15" s="14">
        <v>0</v>
      </c>
      <c r="C15" s="14">
        <v>0</v>
      </c>
      <c r="D15" s="20">
        <v>2226.4240740740738</v>
      </c>
      <c r="E15" s="20">
        <v>5.9213036081384471</v>
      </c>
      <c r="F15" s="20">
        <v>2020.3555555555549</v>
      </c>
      <c r="G15" s="20">
        <v>0.9805568670645135</v>
      </c>
      <c r="H15" s="20">
        <v>2078.9916666666668</v>
      </c>
      <c r="I15" s="20">
        <v>1.79665994791734</v>
      </c>
      <c r="J15" s="20">
        <v>134.35925925925929</v>
      </c>
      <c r="K15" s="20">
        <v>22.815689354631029</v>
      </c>
    </row>
    <row r="16" spans="1:11" x14ac:dyDescent="0.3">
      <c r="A16" s="7" t="s">
        <v>101</v>
      </c>
      <c r="B16" s="13">
        <v>100</v>
      </c>
      <c r="C16" s="13">
        <v>0</v>
      </c>
      <c r="D16" s="19">
        <v>0.34236011603904187</v>
      </c>
      <c r="E16" s="19">
        <v>3.4148717237531573E-2</v>
      </c>
      <c r="F16" s="19">
        <v>0.2474208011335487</v>
      </c>
      <c r="G16" s="19">
        <v>2.147613150605919E-2</v>
      </c>
      <c r="H16" s="19">
        <v>0.2282325796528209</v>
      </c>
      <c r="I16" s="19">
        <v>2.129594598710164E-2</v>
      </c>
      <c r="J16" s="19">
        <v>1.0211470038880359</v>
      </c>
      <c r="K16" s="19">
        <v>0.1943511651383332</v>
      </c>
    </row>
    <row r="17" spans="1:11" x14ac:dyDescent="0.3">
      <c r="A17" s="7" t="s">
        <v>89</v>
      </c>
      <c r="B17" s="14">
        <v>6.3303206860955354</v>
      </c>
      <c r="C17" s="14">
        <v>0.29256438781584099</v>
      </c>
      <c r="D17" s="20">
        <v>8.0073574897076867</v>
      </c>
      <c r="E17" s="20">
        <v>0.25812810718164642</v>
      </c>
      <c r="F17" s="20">
        <v>8.9564607913178804</v>
      </c>
      <c r="G17" s="20">
        <v>0.22391051822111119</v>
      </c>
      <c r="H17" s="20">
        <v>10.18482288049085</v>
      </c>
      <c r="I17" s="20">
        <v>0.17450331145225639</v>
      </c>
      <c r="J17" s="20">
        <v>13.891886560890271</v>
      </c>
      <c r="K17" s="20">
        <v>0.24349661708239781</v>
      </c>
    </row>
    <row r="18" spans="1:11" x14ac:dyDescent="0.3">
      <c r="A18" s="7" t="s">
        <v>102</v>
      </c>
      <c r="B18" s="14">
        <v>7.9734773653854063</v>
      </c>
      <c r="C18" s="14">
        <v>1.1024899213321959</v>
      </c>
      <c r="D18" s="20">
        <v>20.37809116847346</v>
      </c>
      <c r="E18" s="20">
        <v>1.416006294316112</v>
      </c>
      <c r="F18" s="20">
        <v>22.02378346170735</v>
      </c>
      <c r="G18" s="20">
        <v>1.67959893841043</v>
      </c>
      <c r="H18" s="20">
        <v>20.551864918497831</v>
      </c>
      <c r="I18" s="20">
        <v>1.4936048769385839</v>
      </c>
      <c r="J18" s="20">
        <v>27.270048621812759</v>
      </c>
      <c r="K18" s="20">
        <v>0.91848270956327593</v>
      </c>
    </row>
    <row r="19" spans="1:11" x14ac:dyDescent="0.3">
      <c r="A19" s="7" t="s">
        <v>90</v>
      </c>
      <c r="B19" s="15">
        <v>392.46666666666658</v>
      </c>
      <c r="C19" s="15">
        <v>35.964550447473833</v>
      </c>
      <c r="D19" s="21">
        <v>241279.8</v>
      </c>
      <c r="E19" s="21">
        <v>618.79686489186417</v>
      </c>
      <c r="F19" s="21">
        <v>145826.4</v>
      </c>
      <c r="G19" s="21">
        <v>51.061357426352558</v>
      </c>
      <c r="H19" s="21">
        <v>150029.79999999999</v>
      </c>
      <c r="I19" s="21">
        <v>103.489688160488</v>
      </c>
      <c r="J19" s="21">
        <v>12213.33333333333</v>
      </c>
      <c r="K19" s="21">
        <v>2053.205150219746</v>
      </c>
    </row>
  </sheetData>
  <mergeCells count="7">
    <mergeCell ref="A1:K1"/>
    <mergeCell ref="B4:C4"/>
    <mergeCell ref="F4:G4"/>
    <mergeCell ref="J4:K4"/>
    <mergeCell ref="A2:K2"/>
    <mergeCell ref="D4:E4"/>
    <mergeCell ref="H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>
      <pane xSplit="1" ySplit="5" topLeftCell="B6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26" customWidth="1"/>
    <col min="2" max="2" width="20" customWidth="1"/>
    <col min="3" max="3" width="21" customWidth="1"/>
    <col min="4" max="4" width="20" customWidth="1"/>
    <col min="5" max="6" width="21" customWidth="1"/>
    <col min="7" max="7" width="22" customWidth="1"/>
    <col min="8" max="8" width="20" customWidth="1"/>
    <col min="9" max="9" width="22" customWidth="1"/>
    <col min="10" max="10" width="20" customWidth="1"/>
    <col min="11" max="11" width="21" customWidth="1"/>
  </cols>
  <sheetData>
    <row r="1" spans="1:11" ht="17.399999999999999" x14ac:dyDescent="0.3">
      <c r="A1" s="39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3">
      <c r="A2" s="36" t="s">
        <v>93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28.05" customHeight="1" x14ac:dyDescent="0.3">
      <c r="A4" s="6" t="s">
        <v>79</v>
      </c>
      <c r="B4" s="40" t="s">
        <v>30</v>
      </c>
      <c r="C4" s="40"/>
      <c r="D4" s="40" t="s">
        <v>32</v>
      </c>
      <c r="E4" s="40"/>
      <c r="F4" s="40" t="s">
        <v>34</v>
      </c>
      <c r="G4" s="40"/>
      <c r="H4" s="40" t="s">
        <v>36</v>
      </c>
      <c r="I4" s="40"/>
      <c r="J4" s="40" t="s">
        <v>38</v>
      </c>
      <c r="K4" s="40"/>
    </row>
    <row r="5" spans="1:11" ht="18" customHeight="1" x14ac:dyDescent="0.3">
      <c r="A5" s="22"/>
      <c r="B5" s="22" t="s">
        <v>94</v>
      </c>
      <c r="C5" s="22" t="s">
        <v>95</v>
      </c>
      <c r="D5" s="22" t="s">
        <v>94</v>
      </c>
      <c r="E5" s="22" t="s">
        <v>95</v>
      </c>
      <c r="F5" s="22" t="s">
        <v>94</v>
      </c>
      <c r="G5" s="22" t="s">
        <v>95</v>
      </c>
      <c r="H5" s="22" t="s">
        <v>94</v>
      </c>
      <c r="I5" s="22" t="s">
        <v>95</v>
      </c>
      <c r="J5" s="22" t="s">
        <v>94</v>
      </c>
      <c r="K5" s="22" t="s">
        <v>95</v>
      </c>
    </row>
    <row r="6" spans="1:11" x14ac:dyDescent="0.3">
      <c r="A6" s="7" t="s">
        <v>96</v>
      </c>
      <c r="B6" s="12">
        <v>211.4</v>
      </c>
      <c r="C6" s="12">
        <v>19.683495624507351</v>
      </c>
      <c r="D6" s="18">
        <v>210.8</v>
      </c>
      <c r="E6" s="18">
        <v>19.487431847218861</v>
      </c>
      <c r="F6" s="18">
        <v>211.4</v>
      </c>
      <c r="G6" s="18">
        <v>19.683495624507351</v>
      </c>
      <c r="H6" s="18">
        <v>211.4</v>
      </c>
      <c r="I6" s="18">
        <v>19.683495624507351</v>
      </c>
      <c r="J6" s="18">
        <v>108.2</v>
      </c>
      <c r="K6" s="18">
        <v>9.9478640923567117</v>
      </c>
    </row>
    <row r="7" spans="1:11" x14ac:dyDescent="0.3">
      <c r="A7" s="7" t="s">
        <v>84</v>
      </c>
      <c r="B7" s="11">
        <v>100</v>
      </c>
      <c r="C7" s="11">
        <v>0</v>
      </c>
      <c r="D7" s="17">
        <v>99.725128716160114</v>
      </c>
      <c r="E7" s="17">
        <v>0.36896005588691527</v>
      </c>
      <c r="F7" s="17">
        <v>100</v>
      </c>
      <c r="G7" s="17">
        <v>0</v>
      </c>
      <c r="H7" s="17">
        <v>100</v>
      </c>
      <c r="I7" s="17">
        <v>0</v>
      </c>
      <c r="J7" s="17">
        <v>51.304849001310423</v>
      </c>
      <c r="K7" s="17">
        <v>3.2867352247736461</v>
      </c>
    </row>
    <row r="8" spans="1:11" x14ac:dyDescent="0.3">
      <c r="A8" s="7" t="s">
        <v>97</v>
      </c>
      <c r="B8" s="11">
        <v>0</v>
      </c>
      <c r="C8" s="11">
        <v>0</v>
      </c>
      <c r="D8" s="17">
        <v>0.27487128383989368</v>
      </c>
      <c r="E8" s="17">
        <v>0.36896005588691538</v>
      </c>
      <c r="F8" s="17">
        <v>0</v>
      </c>
      <c r="G8" s="17">
        <v>0</v>
      </c>
      <c r="H8" s="17">
        <v>0</v>
      </c>
      <c r="I8" s="17">
        <v>0</v>
      </c>
      <c r="J8" s="17">
        <v>48.695150998689577</v>
      </c>
      <c r="K8" s="17">
        <v>3.2867352247736492</v>
      </c>
    </row>
    <row r="9" spans="1:11" x14ac:dyDescent="0.3">
      <c r="A9" s="7" t="s">
        <v>86</v>
      </c>
      <c r="B9" s="12">
        <v>0</v>
      </c>
      <c r="C9" s="12">
        <v>0</v>
      </c>
      <c r="D9" s="18">
        <v>12519.2</v>
      </c>
      <c r="E9" s="18">
        <v>478.84544479403792</v>
      </c>
      <c r="F9" s="18">
        <v>9188.4</v>
      </c>
      <c r="G9" s="18">
        <v>54.253479151110668</v>
      </c>
      <c r="H9" s="18">
        <v>7953.4</v>
      </c>
      <c r="I9" s="18">
        <v>65.959381440398602</v>
      </c>
      <c r="J9" s="18">
        <v>8441.2000000000007</v>
      </c>
      <c r="K9" s="18">
        <v>1068.183579727754</v>
      </c>
    </row>
    <row r="10" spans="1:11" x14ac:dyDescent="0.3">
      <c r="A10" s="7" t="s">
        <v>85</v>
      </c>
      <c r="B10" s="11">
        <v>100</v>
      </c>
      <c r="C10" s="11">
        <v>0</v>
      </c>
      <c r="D10" s="17">
        <v>1.66079798612577</v>
      </c>
      <c r="E10" s="17">
        <v>0.18723920205407441</v>
      </c>
      <c r="F10" s="17">
        <v>2.2480481471660139</v>
      </c>
      <c r="G10" s="17">
        <v>0.19817900459194199</v>
      </c>
      <c r="H10" s="17">
        <v>2.5874862383099302</v>
      </c>
      <c r="I10" s="17">
        <v>0.22155821638532969</v>
      </c>
      <c r="J10" s="17">
        <v>1.2796869477182859</v>
      </c>
      <c r="K10" s="17">
        <v>0.1503372247563759</v>
      </c>
    </row>
    <row r="11" spans="1:11" x14ac:dyDescent="0.3">
      <c r="A11" s="7" t="s">
        <v>87</v>
      </c>
      <c r="B11" s="13">
        <v>0</v>
      </c>
      <c r="C11" s="13">
        <v>0</v>
      </c>
      <c r="D11" s="19">
        <v>57.959259259259262</v>
      </c>
      <c r="E11" s="19">
        <v>2.2168770592316558</v>
      </c>
      <c r="F11" s="19">
        <v>42.538888888888877</v>
      </c>
      <c r="G11" s="19">
        <v>0.25117351458847498</v>
      </c>
      <c r="H11" s="19">
        <v>36.821296296296303</v>
      </c>
      <c r="I11" s="19">
        <v>0.30536750666851192</v>
      </c>
      <c r="J11" s="19">
        <v>39.079629629629629</v>
      </c>
      <c r="K11" s="19">
        <v>4.9452943505914577</v>
      </c>
    </row>
    <row r="12" spans="1:11" x14ac:dyDescent="0.3">
      <c r="A12" s="7" t="s">
        <v>98</v>
      </c>
      <c r="B12" s="12">
        <v>695.4</v>
      </c>
      <c r="C12" s="12">
        <v>67.152364068586593</v>
      </c>
      <c r="D12" s="18">
        <v>1646.2</v>
      </c>
      <c r="E12" s="18">
        <v>166.11489999394999</v>
      </c>
      <c r="F12" s="18">
        <v>1195</v>
      </c>
      <c r="G12" s="18">
        <v>103.76319193239959</v>
      </c>
      <c r="H12" s="18">
        <v>1157.2</v>
      </c>
      <c r="I12" s="18">
        <v>103.4473779271374</v>
      </c>
      <c r="J12" s="18">
        <v>237.6</v>
      </c>
      <c r="K12" s="18">
        <v>21.114923632350649</v>
      </c>
    </row>
    <row r="13" spans="1:11" x14ac:dyDescent="0.3">
      <c r="A13" s="7" t="s">
        <v>99</v>
      </c>
      <c r="B13" s="12">
        <v>0</v>
      </c>
      <c r="C13" s="12">
        <v>0</v>
      </c>
      <c r="D13" s="18">
        <v>480233.8</v>
      </c>
      <c r="E13" s="18">
        <v>2777.578326528344</v>
      </c>
      <c r="F13" s="18">
        <v>436396</v>
      </c>
      <c r="G13" s="18">
        <v>222.18640822516579</v>
      </c>
      <c r="H13" s="18">
        <v>449062.6</v>
      </c>
      <c r="I13" s="18">
        <v>370.14191872847903</v>
      </c>
      <c r="J13" s="18">
        <v>29076.799999999999</v>
      </c>
      <c r="K13" s="18">
        <v>3735.576496338952</v>
      </c>
    </row>
    <row r="14" spans="1:11" x14ac:dyDescent="0.3">
      <c r="A14" s="7" t="s">
        <v>88</v>
      </c>
      <c r="B14" s="14">
        <v>3.28875064074506</v>
      </c>
      <c r="C14" s="14">
        <v>4.9807719269246001E-2</v>
      </c>
      <c r="D14" s="20">
        <v>7.8037622050430233</v>
      </c>
      <c r="E14" s="20">
        <v>8.8335799882610158E-2</v>
      </c>
      <c r="F14" s="20">
        <v>5.656685336308902</v>
      </c>
      <c r="G14" s="20">
        <v>0.1002017695844097</v>
      </c>
      <c r="H14" s="20">
        <v>5.4765233317357431</v>
      </c>
      <c r="I14" s="20">
        <v>0.10916983687771629</v>
      </c>
      <c r="J14" s="20">
        <v>2.1973374372832919</v>
      </c>
      <c r="K14" s="20">
        <v>7.0845094529309455E-2</v>
      </c>
    </row>
    <row r="15" spans="1:11" x14ac:dyDescent="0.3">
      <c r="A15" s="7" t="s">
        <v>100</v>
      </c>
      <c r="B15" s="14">
        <v>0</v>
      </c>
      <c r="C15" s="14">
        <v>0</v>
      </c>
      <c r="D15" s="20">
        <v>2223.3046296296302</v>
      </c>
      <c r="E15" s="20">
        <v>12.8591589191126</v>
      </c>
      <c r="F15" s="20">
        <v>2020.351851851852</v>
      </c>
      <c r="G15" s="20">
        <v>1.028640778820302</v>
      </c>
      <c r="H15" s="20">
        <v>2078.9935185185182</v>
      </c>
      <c r="I15" s="20">
        <v>1.71361999411324</v>
      </c>
      <c r="J15" s="20">
        <v>134.61481481481479</v>
      </c>
      <c r="K15" s="20">
        <v>17.294335631198859</v>
      </c>
    </row>
    <row r="16" spans="1:11" x14ac:dyDescent="0.3">
      <c r="A16" s="7" t="s">
        <v>101</v>
      </c>
      <c r="B16" s="13">
        <v>100</v>
      </c>
      <c r="C16" s="13">
        <v>0</v>
      </c>
      <c r="D16" s="19">
        <v>0.34157978670934391</v>
      </c>
      <c r="E16" s="19">
        <v>3.4105794862373522E-2</v>
      </c>
      <c r="F16" s="19">
        <v>0.27308932527475521</v>
      </c>
      <c r="G16" s="19">
        <v>2.375263288581966E-2</v>
      </c>
      <c r="H16" s="19">
        <v>0.25704069849028222</v>
      </c>
      <c r="I16" s="19">
        <v>2.3097752697557341E-2</v>
      </c>
      <c r="J16" s="19">
        <v>0.81962783155890295</v>
      </c>
      <c r="K16" s="19">
        <v>9.3045483484803723E-2</v>
      </c>
    </row>
    <row r="17" spans="1:11" x14ac:dyDescent="0.3">
      <c r="A17" s="7" t="s">
        <v>89</v>
      </c>
      <c r="B17" s="14">
        <v>6.3405595712462048</v>
      </c>
      <c r="C17" s="14">
        <v>0.30175628341541932</v>
      </c>
      <c r="D17" s="20">
        <v>7.4953952470297294</v>
      </c>
      <c r="E17" s="20">
        <v>0.29677518655051388</v>
      </c>
      <c r="F17" s="20">
        <v>8.9147632414701956</v>
      </c>
      <c r="G17" s="20">
        <v>0.1906548786353208</v>
      </c>
      <c r="H17" s="20">
        <v>9.773065697450777</v>
      </c>
      <c r="I17" s="20">
        <v>0.22488298649241811</v>
      </c>
      <c r="J17" s="20">
        <v>12.231736618230061</v>
      </c>
      <c r="K17" s="20">
        <v>0.30286315886359838</v>
      </c>
    </row>
    <row r="18" spans="1:11" x14ac:dyDescent="0.3">
      <c r="A18" s="7" t="s">
        <v>102</v>
      </c>
      <c r="B18" s="14">
        <v>7.9734773653854063</v>
      </c>
      <c r="C18" s="14">
        <v>1.1024899213321959</v>
      </c>
      <c r="D18" s="20">
        <v>17.429834356546021</v>
      </c>
      <c r="E18" s="20">
        <v>1.509852632656937</v>
      </c>
      <c r="F18" s="20">
        <v>23.253246824700899</v>
      </c>
      <c r="G18" s="20">
        <v>1.12752136669019</v>
      </c>
      <c r="H18" s="20">
        <v>22.124718783730732</v>
      </c>
      <c r="I18" s="20">
        <v>1.1910053051765199</v>
      </c>
      <c r="J18" s="20">
        <v>25.832815551228119</v>
      </c>
      <c r="K18" s="20">
        <v>0.55871568542439976</v>
      </c>
    </row>
    <row r="19" spans="1:11" x14ac:dyDescent="0.3">
      <c r="A19" s="7" t="s">
        <v>90</v>
      </c>
      <c r="B19" s="15">
        <v>231.8</v>
      </c>
      <c r="C19" s="15">
        <v>22.384121356195529</v>
      </c>
      <c r="D19" s="21">
        <v>240940</v>
      </c>
      <c r="E19" s="21">
        <v>1408.0862189510981</v>
      </c>
      <c r="F19" s="21">
        <v>145863.66666666669</v>
      </c>
      <c r="G19" s="21">
        <v>53.984359874974899</v>
      </c>
      <c r="H19" s="21">
        <v>150073.26666666669</v>
      </c>
      <c r="I19" s="21">
        <v>96.278392637642881</v>
      </c>
      <c r="J19" s="21">
        <v>12214.33333333333</v>
      </c>
      <c r="K19" s="21">
        <v>1560.629382475046</v>
      </c>
    </row>
  </sheetData>
  <mergeCells count="7">
    <mergeCell ref="A1:K1"/>
    <mergeCell ref="B4:C4"/>
    <mergeCell ref="F4:G4"/>
    <mergeCell ref="J4:K4"/>
    <mergeCell ref="A2:K2"/>
    <mergeCell ref="D4:E4"/>
    <mergeCell ref="H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7"/>
  <sheetViews>
    <sheetView workbookViewId="0">
      <selection sqref="A1:H1"/>
    </sheetView>
  </sheetViews>
  <sheetFormatPr defaultRowHeight="14.4" x14ac:dyDescent="0.3"/>
  <cols>
    <col min="1" max="2" width="22" customWidth="1"/>
    <col min="3" max="4" width="20" customWidth="1"/>
    <col min="5" max="5" width="19" customWidth="1"/>
    <col min="6" max="8" width="12" customWidth="1"/>
  </cols>
  <sheetData>
    <row r="1" spans="1:8" ht="17.399999999999999" x14ac:dyDescent="0.3">
      <c r="A1" s="39" t="s">
        <v>106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107</v>
      </c>
      <c r="B2" s="35"/>
      <c r="C2" s="35"/>
      <c r="D2" s="35"/>
      <c r="E2" s="35"/>
      <c r="F2" s="35"/>
      <c r="G2" s="35"/>
      <c r="H2" s="35"/>
    </row>
    <row r="4" spans="1:8" ht="22.05" customHeight="1" x14ac:dyDescent="0.3">
      <c r="A4" s="41" t="s">
        <v>30</v>
      </c>
      <c r="B4" s="35"/>
      <c r="C4" s="35"/>
      <c r="D4" s="35"/>
      <c r="E4" s="35"/>
    </row>
    <row r="5" spans="1:8" ht="18" customHeight="1" x14ac:dyDescent="0.3">
      <c r="A5" s="22" t="s">
        <v>108</v>
      </c>
      <c r="B5" s="22" t="s">
        <v>109</v>
      </c>
      <c r="C5" s="22" t="s">
        <v>110</v>
      </c>
      <c r="D5" s="22" t="s">
        <v>111</v>
      </c>
      <c r="E5" s="22" t="s">
        <v>112</v>
      </c>
    </row>
    <row r="6" spans="1:8" x14ac:dyDescent="0.3">
      <c r="A6" s="23">
        <v>0.79320568931067947</v>
      </c>
      <c r="B6" s="23">
        <v>0</v>
      </c>
      <c r="C6" s="20">
        <v>100</v>
      </c>
      <c r="D6" s="20">
        <v>100</v>
      </c>
      <c r="E6" s="18">
        <v>0</v>
      </c>
    </row>
    <row r="7" spans="1:8" x14ac:dyDescent="0.3">
      <c r="A7" s="23">
        <v>0.58632394544294253</v>
      </c>
      <c r="B7" s="23">
        <v>0</v>
      </c>
      <c r="C7" s="20">
        <v>100</v>
      </c>
      <c r="D7" s="20">
        <v>100</v>
      </c>
      <c r="E7" s="18">
        <v>0</v>
      </c>
    </row>
    <row r="8" spans="1:8" x14ac:dyDescent="0.3">
      <c r="A8" s="23">
        <v>0.6819644340465465</v>
      </c>
      <c r="B8" s="23">
        <v>0</v>
      </c>
      <c r="C8" s="20">
        <v>100</v>
      </c>
      <c r="D8" s="20">
        <v>100</v>
      </c>
      <c r="E8" s="18">
        <v>0</v>
      </c>
    </row>
    <row r="9" spans="1:8" x14ac:dyDescent="0.3">
      <c r="A9" s="23">
        <v>1.4517177916980251</v>
      </c>
      <c r="B9" s="23">
        <v>0</v>
      </c>
      <c r="C9" s="20">
        <v>100</v>
      </c>
      <c r="D9" s="20">
        <v>100</v>
      </c>
      <c r="E9" s="18">
        <v>0</v>
      </c>
    </row>
    <row r="10" spans="1:8" x14ac:dyDescent="0.3">
      <c r="A10" s="23">
        <v>35.944029970334498</v>
      </c>
      <c r="B10" s="23">
        <v>0</v>
      </c>
      <c r="C10" s="20">
        <v>100</v>
      </c>
      <c r="D10" s="20">
        <v>0</v>
      </c>
      <c r="E10" s="18">
        <v>0</v>
      </c>
    </row>
    <row r="11" spans="1:8" x14ac:dyDescent="0.3">
      <c r="A11" s="23">
        <v>3.5944029970334501</v>
      </c>
      <c r="B11" s="23">
        <v>0</v>
      </c>
      <c r="C11" s="20">
        <v>100</v>
      </c>
      <c r="D11" s="20">
        <v>17.762596071733562</v>
      </c>
      <c r="E11" s="18">
        <v>0</v>
      </c>
    </row>
    <row r="12" spans="1:8" x14ac:dyDescent="0.3">
      <c r="A12" s="23">
        <v>3.0903144526577271</v>
      </c>
      <c r="B12" s="23">
        <v>0</v>
      </c>
      <c r="C12" s="20">
        <v>100</v>
      </c>
      <c r="D12" s="20">
        <v>63.450042698548238</v>
      </c>
      <c r="E12" s="18">
        <v>0</v>
      </c>
    </row>
    <row r="13" spans="1:8" x14ac:dyDescent="0.3">
      <c r="A13" s="23">
        <v>2.6569206135725771</v>
      </c>
      <c r="B13" s="23">
        <v>0</v>
      </c>
      <c r="C13" s="20">
        <v>100</v>
      </c>
      <c r="D13" s="20">
        <v>94.363791631084553</v>
      </c>
      <c r="E13" s="18">
        <v>0</v>
      </c>
    </row>
    <row r="14" spans="1:8" x14ac:dyDescent="0.3">
      <c r="A14" s="23">
        <v>2.2843070680900488</v>
      </c>
      <c r="B14" s="23">
        <v>0</v>
      </c>
      <c r="C14" s="20">
        <v>100</v>
      </c>
      <c r="D14" s="20">
        <v>99.829205807002566</v>
      </c>
      <c r="E14" s="18">
        <v>0</v>
      </c>
    </row>
    <row r="15" spans="1:8" x14ac:dyDescent="0.3">
      <c r="A15" s="23">
        <v>1.9639498277330161</v>
      </c>
      <c r="B15" s="23">
        <v>0</v>
      </c>
      <c r="C15" s="20">
        <v>100</v>
      </c>
      <c r="D15" s="20">
        <v>100</v>
      </c>
      <c r="E15" s="18">
        <v>0</v>
      </c>
    </row>
    <row r="16" spans="1:8" x14ac:dyDescent="0.3">
      <c r="A16" s="23">
        <v>1.6885203306215451</v>
      </c>
      <c r="B16" s="23">
        <v>0</v>
      </c>
      <c r="C16" s="20">
        <v>100</v>
      </c>
      <c r="D16" s="20">
        <v>100</v>
      </c>
      <c r="E16" s="18">
        <v>0</v>
      </c>
    </row>
    <row r="17" spans="1:5" x14ac:dyDescent="0.3">
      <c r="A17" s="23">
        <v>0.92259249037595237</v>
      </c>
      <c r="B17" s="23">
        <v>0</v>
      </c>
      <c r="C17" s="20">
        <v>100</v>
      </c>
      <c r="D17" s="20">
        <v>100</v>
      </c>
      <c r="E17" s="18">
        <v>0</v>
      </c>
    </row>
    <row r="18" spans="1:5" x14ac:dyDescent="0.3">
      <c r="A18" s="23">
        <v>1.248125064598318</v>
      </c>
      <c r="B18" s="23">
        <v>0</v>
      </c>
      <c r="C18" s="20">
        <v>100</v>
      </c>
      <c r="D18" s="20">
        <v>100</v>
      </c>
      <c r="E18" s="18">
        <v>0</v>
      </c>
    </row>
    <row r="19" spans="1:5" x14ac:dyDescent="0.3">
      <c r="A19" s="23">
        <v>1.073084717833783</v>
      </c>
      <c r="B19" s="23">
        <v>0</v>
      </c>
      <c r="C19" s="20">
        <v>100</v>
      </c>
      <c r="D19" s="20">
        <v>100</v>
      </c>
      <c r="E19" s="18">
        <v>0</v>
      </c>
    </row>
    <row r="20" spans="1:5" x14ac:dyDescent="0.3">
      <c r="A20" s="23">
        <v>1</v>
      </c>
      <c r="B20" s="23">
        <v>0</v>
      </c>
      <c r="C20" s="20">
        <v>100</v>
      </c>
      <c r="D20" s="20">
        <v>100</v>
      </c>
      <c r="E20" s="18">
        <v>0</v>
      </c>
    </row>
    <row r="21" spans="1:5" x14ac:dyDescent="0.3">
      <c r="A21" s="23">
        <v>0.50409633088917771</v>
      </c>
      <c r="B21" s="23">
        <v>2.5510204081632651E-3</v>
      </c>
      <c r="C21" s="20">
        <v>100</v>
      </c>
      <c r="D21" s="20">
        <v>100</v>
      </c>
      <c r="E21" s="18">
        <v>3</v>
      </c>
    </row>
    <row r="22" spans="1:5" x14ac:dyDescent="0.3">
      <c r="A22" s="23">
        <v>0.43340053359744629</v>
      </c>
      <c r="B22" s="23">
        <v>8.5034013605442185E-3</v>
      </c>
      <c r="C22" s="20">
        <v>100</v>
      </c>
      <c r="D22" s="20">
        <v>100</v>
      </c>
      <c r="E22" s="18">
        <v>10</v>
      </c>
    </row>
    <row r="23" spans="1:5" x14ac:dyDescent="0.3">
      <c r="A23" s="23">
        <v>0.37261930113878522</v>
      </c>
      <c r="B23" s="23">
        <v>2.551020408163265E-2</v>
      </c>
      <c r="C23" s="20">
        <v>100</v>
      </c>
      <c r="D23" s="20">
        <v>100</v>
      </c>
      <c r="E23" s="18">
        <v>30</v>
      </c>
    </row>
    <row r="24" spans="1:5" x14ac:dyDescent="0.3">
      <c r="A24" s="23">
        <v>0.32036218882489798</v>
      </c>
      <c r="B24" s="23">
        <v>0.13945578231292521</v>
      </c>
      <c r="C24" s="20">
        <v>100</v>
      </c>
      <c r="D24" s="20">
        <v>100</v>
      </c>
      <c r="E24" s="18">
        <v>164</v>
      </c>
    </row>
    <row r="25" spans="1:5" x14ac:dyDescent="0.3">
      <c r="A25" s="23">
        <v>9.5641965935234722E-3</v>
      </c>
      <c r="B25" s="23">
        <v>1.0374149659863949</v>
      </c>
      <c r="C25" s="20">
        <v>100</v>
      </c>
      <c r="D25" s="20">
        <v>100</v>
      </c>
      <c r="E25" s="18">
        <v>1220</v>
      </c>
    </row>
    <row r="26" spans="1:5" x14ac:dyDescent="0.3">
      <c r="A26" s="23">
        <v>9.5641965935234718E-2</v>
      </c>
      <c r="B26" s="23">
        <v>1.096938775510204</v>
      </c>
      <c r="C26" s="20">
        <v>100</v>
      </c>
      <c r="D26" s="20">
        <v>100</v>
      </c>
      <c r="E26" s="18">
        <v>1290</v>
      </c>
    </row>
    <row r="27" spans="1:5" x14ac:dyDescent="0.3">
      <c r="A27" s="23">
        <v>0.27543375159316691</v>
      </c>
      <c r="B27" s="23">
        <v>1.9974489795918371</v>
      </c>
      <c r="C27" s="20">
        <v>100</v>
      </c>
      <c r="D27" s="20">
        <v>100</v>
      </c>
      <c r="E27" s="18">
        <v>2349</v>
      </c>
    </row>
    <row r="28" spans="1:5" x14ac:dyDescent="0.3">
      <c r="A28" s="23">
        <v>0.1112429735764027</v>
      </c>
      <c r="B28" s="23">
        <v>3.3767006802721089</v>
      </c>
      <c r="C28" s="20">
        <v>100</v>
      </c>
      <c r="D28" s="20">
        <v>100</v>
      </c>
      <c r="E28" s="18">
        <v>3971</v>
      </c>
    </row>
    <row r="29" spans="1:5" x14ac:dyDescent="0.3">
      <c r="A29" s="23">
        <v>0.2368061967454955</v>
      </c>
      <c r="B29" s="23">
        <v>23.21598639455782</v>
      </c>
      <c r="C29" s="20">
        <v>100</v>
      </c>
      <c r="D29" s="20">
        <v>100</v>
      </c>
      <c r="E29" s="18">
        <v>27302</v>
      </c>
    </row>
    <row r="30" spans="1:5" x14ac:dyDescent="0.3">
      <c r="A30" s="23">
        <v>0.1293887996666665</v>
      </c>
      <c r="B30" s="23">
        <v>29.591836734693882</v>
      </c>
      <c r="C30" s="20">
        <v>100</v>
      </c>
      <c r="D30" s="20">
        <v>100</v>
      </c>
      <c r="E30" s="18">
        <v>34800</v>
      </c>
    </row>
    <row r="31" spans="1:5" x14ac:dyDescent="0.3">
      <c r="A31" s="23">
        <v>0.2035958719390929</v>
      </c>
      <c r="B31" s="23">
        <v>110.60629251700681</v>
      </c>
      <c r="C31" s="20">
        <v>100</v>
      </c>
      <c r="D31" s="20">
        <v>100</v>
      </c>
      <c r="E31" s="18">
        <v>130073</v>
      </c>
    </row>
    <row r="32" spans="1:5" x14ac:dyDescent="0.3">
      <c r="A32" s="23">
        <v>0.15049455206878809</v>
      </c>
      <c r="B32" s="23">
        <v>123.609693877551</v>
      </c>
      <c r="C32" s="20">
        <v>100</v>
      </c>
      <c r="D32" s="20">
        <v>100</v>
      </c>
      <c r="E32" s="18">
        <v>145365</v>
      </c>
    </row>
    <row r="33" spans="1:5" x14ac:dyDescent="0.3">
      <c r="A33" s="23">
        <v>0.1750430505633632</v>
      </c>
      <c r="B33" s="23">
        <v>192.3954081632653</v>
      </c>
      <c r="C33" s="20">
        <v>100</v>
      </c>
      <c r="D33" s="20">
        <v>100</v>
      </c>
      <c r="E33" s="18">
        <v>226257</v>
      </c>
    </row>
    <row r="35" spans="1:5" ht="22.05" customHeight="1" x14ac:dyDescent="0.3">
      <c r="A35" s="41" t="s">
        <v>32</v>
      </c>
      <c r="B35" s="35"/>
      <c r="C35" s="35"/>
      <c r="D35" s="35"/>
      <c r="E35" s="35"/>
    </row>
    <row r="36" spans="1:5" ht="18" customHeight="1" x14ac:dyDescent="0.3">
      <c r="A36" s="22" t="s">
        <v>108</v>
      </c>
      <c r="B36" s="22" t="s">
        <v>109</v>
      </c>
      <c r="C36" s="22" t="s">
        <v>110</v>
      </c>
      <c r="D36" s="22" t="s">
        <v>111</v>
      </c>
      <c r="E36" s="22" t="s">
        <v>112</v>
      </c>
    </row>
    <row r="37" spans="1:5" x14ac:dyDescent="0.3">
      <c r="A37" s="23">
        <v>34.252842632338577</v>
      </c>
      <c r="B37" s="23">
        <v>0</v>
      </c>
      <c r="C37" s="20">
        <v>36.379163108454307</v>
      </c>
      <c r="D37" s="20">
        <v>36.379163108454307</v>
      </c>
      <c r="E37" s="18">
        <v>0</v>
      </c>
    </row>
    <row r="38" spans="1:5" x14ac:dyDescent="0.3">
      <c r="A38" s="23">
        <v>40.879216883450233</v>
      </c>
      <c r="B38" s="23">
        <v>0</v>
      </c>
      <c r="C38" s="20">
        <v>36.379163108454307</v>
      </c>
      <c r="D38" s="20">
        <v>25.789923142613151</v>
      </c>
      <c r="E38" s="18">
        <v>0</v>
      </c>
    </row>
    <row r="39" spans="1:5" x14ac:dyDescent="0.3">
      <c r="A39" s="23">
        <v>48.787494542903801</v>
      </c>
      <c r="B39" s="23">
        <v>0</v>
      </c>
      <c r="C39" s="20">
        <v>36.379163108454307</v>
      </c>
      <c r="D39" s="20">
        <v>12.72416737830914</v>
      </c>
      <c r="E39" s="18">
        <v>0</v>
      </c>
    </row>
    <row r="40" spans="1:5" x14ac:dyDescent="0.3">
      <c r="A40" s="23">
        <v>487.87494542903801</v>
      </c>
      <c r="B40" s="23">
        <v>0</v>
      </c>
      <c r="C40" s="20">
        <v>36.379163108454307</v>
      </c>
      <c r="D40" s="20">
        <v>0</v>
      </c>
      <c r="E40" s="18">
        <v>0</v>
      </c>
    </row>
    <row r="41" spans="1:5" x14ac:dyDescent="0.3">
      <c r="A41" s="23">
        <v>16.883902145036409</v>
      </c>
      <c r="B41" s="23">
        <v>0</v>
      </c>
      <c r="C41" s="20">
        <v>72.416737830913746</v>
      </c>
      <c r="D41" s="20">
        <v>72.416737830913746</v>
      </c>
      <c r="E41" s="18">
        <v>0</v>
      </c>
    </row>
    <row r="42" spans="1:5" x14ac:dyDescent="0.3">
      <c r="A42" s="23">
        <v>20.150172791039111</v>
      </c>
      <c r="B42" s="23">
        <v>0</v>
      </c>
      <c r="C42" s="20">
        <v>72.416737830913746</v>
      </c>
      <c r="D42" s="20">
        <v>62.937660119555943</v>
      </c>
      <c r="E42" s="18">
        <v>0</v>
      </c>
    </row>
    <row r="43" spans="1:5" x14ac:dyDescent="0.3">
      <c r="A43" s="23">
        <v>24.048318926563979</v>
      </c>
      <c r="B43" s="23">
        <v>0</v>
      </c>
      <c r="C43" s="20">
        <v>72.416737830913746</v>
      </c>
      <c r="D43" s="20">
        <v>53.373185311699402</v>
      </c>
      <c r="E43" s="18">
        <v>0</v>
      </c>
    </row>
    <row r="44" spans="1:5" x14ac:dyDescent="0.3">
      <c r="A44" s="23">
        <v>28.70057985065608</v>
      </c>
      <c r="B44" s="23">
        <v>0</v>
      </c>
      <c r="C44" s="20">
        <v>72.416737830913746</v>
      </c>
      <c r="D44" s="20">
        <v>44.064901793339033</v>
      </c>
      <c r="E44" s="18">
        <v>0</v>
      </c>
    </row>
    <row r="45" spans="1:5" x14ac:dyDescent="0.3">
      <c r="A45" s="23">
        <v>14.14708224089946</v>
      </c>
      <c r="B45" s="23">
        <v>8.5034013605442174E-4</v>
      </c>
      <c r="C45" s="20">
        <v>86.678052946199827</v>
      </c>
      <c r="D45" s="20">
        <v>86.678052946199827</v>
      </c>
      <c r="E45" s="18">
        <v>1</v>
      </c>
    </row>
    <row r="46" spans="1:5" x14ac:dyDescent="0.3">
      <c r="A46" s="23">
        <v>11.853891014738601</v>
      </c>
      <c r="B46" s="23">
        <v>9.3537414965986394E-3</v>
      </c>
      <c r="C46" s="20">
        <v>98.889837745516644</v>
      </c>
      <c r="D46" s="20">
        <v>98.889837745516644</v>
      </c>
      <c r="E46" s="18">
        <v>11</v>
      </c>
    </row>
    <row r="47" spans="1:5" x14ac:dyDescent="0.3">
      <c r="A47" s="23">
        <v>9.9324178510159431</v>
      </c>
      <c r="B47" s="23">
        <v>7.1428571428571425E-2</v>
      </c>
      <c r="C47" s="20">
        <v>99.658411614005132</v>
      </c>
      <c r="D47" s="20">
        <v>99.658411614005132</v>
      </c>
      <c r="E47" s="18">
        <v>84</v>
      </c>
    </row>
    <row r="48" spans="1:5" x14ac:dyDescent="0.3">
      <c r="A48" s="23">
        <v>8.3224085867264641</v>
      </c>
      <c r="B48" s="23">
        <v>0.49064625850340138</v>
      </c>
      <c r="C48" s="20">
        <v>99.658411614005132</v>
      </c>
      <c r="D48" s="20">
        <v>99.658411614005132</v>
      </c>
      <c r="E48" s="18">
        <v>577</v>
      </c>
    </row>
    <row r="49" spans="1:5" x14ac:dyDescent="0.3">
      <c r="A49" s="23">
        <v>6.9978681996421987E-2</v>
      </c>
      <c r="B49" s="23">
        <v>1.0348639455782309</v>
      </c>
      <c r="C49" s="20">
        <v>99.743808710503842</v>
      </c>
      <c r="D49" s="20">
        <v>99.743808710503842</v>
      </c>
      <c r="E49" s="18">
        <v>1217</v>
      </c>
    </row>
    <row r="50" spans="1:5" x14ac:dyDescent="0.3">
      <c r="A50" s="23">
        <v>0.69978681996421987</v>
      </c>
      <c r="B50" s="23">
        <v>1.0552721088435379</v>
      </c>
      <c r="C50" s="20">
        <v>99.743808710503842</v>
      </c>
      <c r="D50" s="20">
        <v>99.743808710503842</v>
      </c>
      <c r="E50" s="18">
        <v>1241</v>
      </c>
    </row>
    <row r="51" spans="1:5" x14ac:dyDescent="0.3">
      <c r="A51" s="23">
        <v>6.9733760423031192</v>
      </c>
      <c r="B51" s="23">
        <v>2.1794217687074831</v>
      </c>
      <c r="C51" s="20">
        <v>99.743808710503842</v>
      </c>
      <c r="D51" s="20">
        <v>99.658411614005132</v>
      </c>
      <c r="E51" s="18">
        <v>2563</v>
      </c>
    </row>
    <row r="52" spans="1:5" x14ac:dyDescent="0.3">
      <c r="A52" s="23">
        <v>0.83516388676276654</v>
      </c>
      <c r="B52" s="23">
        <v>2.4030612244897962</v>
      </c>
      <c r="C52" s="20">
        <v>99.743808710503842</v>
      </c>
      <c r="D52" s="20">
        <v>99.743808710503842</v>
      </c>
      <c r="E52" s="18">
        <v>2826</v>
      </c>
    </row>
    <row r="53" spans="1:5" x14ac:dyDescent="0.3">
      <c r="A53" s="23">
        <v>5.8430168286768094</v>
      </c>
      <c r="B53" s="23">
        <v>9.386904761904761</v>
      </c>
      <c r="C53" s="20">
        <v>99.743808710503842</v>
      </c>
      <c r="D53" s="20">
        <v>99.658411614005132</v>
      </c>
      <c r="E53" s="18">
        <v>11039</v>
      </c>
    </row>
    <row r="54" spans="1:5" x14ac:dyDescent="0.3">
      <c r="A54" s="23">
        <v>0.99673028678698772</v>
      </c>
      <c r="B54" s="23">
        <v>21.59013605442177</v>
      </c>
      <c r="C54" s="20">
        <v>99.743808710503842</v>
      </c>
      <c r="D54" s="20">
        <v>99.743808710503842</v>
      </c>
      <c r="E54" s="18">
        <v>25390</v>
      </c>
    </row>
    <row r="55" spans="1:5" x14ac:dyDescent="0.3">
      <c r="A55" s="23">
        <v>1</v>
      </c>
      <c r="B55" s="23">
        <v>22.348639455782308</v>
      </c>
      <c r="C55" s="20">
        <v>99.743808710503842</v>
      </c>
      <c r="D55" s="20">
        <v>99.743808710503842</v>
      </c>
      <c r="E55" s="18">
        <v>26282</v>
      </c>
    </row>
    <row r="56" spans="1:5" x14ac:dyDescent="0.3">
      <c r="A56" s="23">
        <v>4.8958847842263484</v>
      </c>
      <c r="B56" s="23">
        <v>37.732142857142847</v>
      </c>
      <c r="C56" s="20">
        <v>99.743808710503842</v>
      </c>
      <c r="D56" s="20">
        <v>99.743808710503842</v>
      </c>
      <c r="E56" s="18">
        <v>44373</v>
      </c>
    </row>
    <row r="57" spans="1:5" x14ac:dyDescent="0.3">
      <c r="A57" s="23">
        <v>2.413278234963435</v>
      </c>
      <c r="B57" s="23">
        <v>39.991496598639458</v>
      </c>
      <c r="C57" s="20">
        <v>99.743808710503842</v>
      </c>
      <c r="D57" s="20">
        <v>99.743808710503842</v>
      </c>
      <c r="E57" s="18">
        <v>47030</v>
      </c>
    </row>
    <row r="58" spans="1:5" x14ac:dyDescent="0.3">
      <c r="A58" s="23">
        <v>2.8801383122007111</v>
      </c>
      <c r="B58" s="23">
        <v>41.596938775510203</v>
      </c>
      <c r="C58" s="20">
        <v>99.743808710503842</v>
      </c>
      <c r="D58" s="20">
        <v>99.743808710503842</v>
      </c>
      <c r="E58" s="18">
        <v>48918</v>
      </c>
    </row>
    <row r="59" spans="1:5" x14ac:dyDescent="0.3">
      <c r="A59" s="23">
        <v>2.0220944996555339</v>
      </c>
      <c r="B59" s="23">
        <v>46.506802721088441</v>
      </c>
      <c r="C59" s="20">
        <v>99.743808710503842</v>
      </c>
      <c r="D59" s="20">
        <v>99.743808710503842</v>
      </c>
      <c r="E59" s="18">
        <v>54692</v>
      </c>
    </row>
    <row r="60" spans="1:5" x14ac:dyDescent="0.3">
      <c r="A60" s="23">
        <v>1.6943202430196029</v>
      </c>
      <c r="B60" s="23">
        <v>53.116496598639458</v>
      </c>
      <c r="C60" s="20">
        <v>99.743808710503842</v>
      </c>
      <c r="D60" s="20">
        <v>99.743808710503842</v>
      </c>
      <c r="E60" s="18">
        <v>62465</v>
      </c>
    </row>
    <row r="61" spans="1:5" x14ac:dyDescent="0.3">
      <c r="A61" s="23">
        <v>3.4373146772825578</v>
      </c>
      <c r="B61" s="23">
        <v>53.344387755102041</v>
      </c>
      <c r="C61" s="20">
        <v>99.743808710503842</v>
      </c>
      <c r="D61" s="20">
        <v>99.743808710503842</v>
      </c>
      <c r="E61" s="18">
        <v>62733</v>
      </c>
    </row>
    <row r="62" spans="1:5" x14ac:dyDescent="0.3">
      <c r="A62" s="23">
        <v>1.419677016279425</v>
      </c>
      <c r="B62" s="23">
        <v>61.9625850340136</v>
      </c>
      <c r="C62" s="20">
        <v>99.743808710503842</v>
      </c>
      <c r="D62" s="20">
        <v>99.743808710503842</v>
      </c>
      <c r="E62" s="18">
        <v>72868</v>
      </c>
    </row>
    <row r="63" spans="1:5" x14ac:dyDescent="0.3">
      <c r="A63" s="23">
        <v>1.189552470293382</v>
      </c>
      <c r="B63" s="23">
        <v>62.277210884353742</v>
      </c>
      <c r="C63" s="20">
        <v>99.743808710503842</v>
      </c>
      <c r="D63" s="20">
        <v>99.743808710503842</v>
      </c>
      <c r="E63" s="18">
        <v>73238</v>
      </c>
    </row>
    <row r="64" spans="1:5" x14ac:dyDescent="0.3">
      <c r="A64" s="23">
        <v>4.1022794428348703</v>
      </c>
      <c r="B64" s="23">
        <v>66.385204081632651</v>
      </c>
      <c r="C64" s="20">
        <v>99.743808710503842</v>
      </c>
      <c r="D64" s="20">
        <v>99.743808710503842</v>
      </c>
      <c r="E64" s="18">
        <v>78069</v>
      </c>
    </row>
    <row r="66" spans="1:5" ht="22.05" customHeight="1" x14ac:dyDescent="0.3">
      <c r="A66" s="41" t="s">
        <v>34</v>
      </c>
      <c r="B66" s="35"/>
      <c r="C66" s="35"/>
      <c r="D66" s="35"/>
      <c r="E66" s="35"/>
    </row>
    <row r="67" spans="1:5" ht="18" customHeight="1" x14ac:dyDescent="0.3">
      <c r="A67" s="22" t="s">
        <v>108</v>
      </c>
      <c r="B67" s="22" t="s">
        <v>109</v>
      </c>
      <c r="C67" s="22" t="s">
        <v>110</v>
      </c>
      <c r="D67" s="22" t="s">
        <v>111</v>
      </c>
      <c r="E67" s="22" t="s">
        <v>112</v>
      </c>
    </row>
    <row r="68" spans="1:5" x14ac:dyDescent="0.3">
      <c r="A68" s="23">
        <v>83.498094481835807</v>
      </c>
      <c r="B68" s="23">
        <v>0</v>
      </c>
      <c r="C68" s="20">
        <v>0</v>
      </c>
      <c r="D68" s="20">
        <v>0</v>
      </c>
      <c r="E68" s="18">
        <v>0</v>
      </c>
    </row>
    <row r="69" spans="1:5" x14ac:dyDescent="0.3">
      <c r="A69" s="23">
        <v>8.3498094481835814</v>
      </c>
      <c r="B69" s="23">
        <v>2.5510204081632651E-3</v>
      </c>
      <c r="C69" s="20">
        <v>28.010247651579849</v>
      </c>
      <c r="D69" s="20">
        <v>28.010247651579849</v>
      </c>
      <c r="E69" s="18">
        <v>3</v>
      </c>
    </row>
    <row r="70" spans="1:5" x14ac:dyDescent="0.3">
      <c r="A70" s="23">
        <v>7.4759579124900046</v>
      </c>
      <c r="B70" s="23">
        <v>6.8027210884353739E-3</v>
      </c>
      <c r="C70" s="20">
        <v>38.599487617420998</v>
      </c>
      <c r="D70" s="20">
        <v>38.599487617420998</v>
      </c>
      <c r="E70" s="18">
        <v>8</v>
      </c>
    </row>
    <row r="71" spans="1:5" x14ac:dyDescent="0.3">
      <c r="A71" s="23">
        <v>6.6935595424252741</v>
      </c>
      <c r="B71" s="23">
        <v>2.125850340136055E-2</v>
      </c>
      <c r="C71" s="20">
        <v>49.188727583262171</v>
      </c>
      <c r="D71" s="20">
        <v>49.188727583262171</v>
      </c>
      <c r="E71" s="18">
        <v>25</v>
      </c>
    </row>
    <row r="72" spans="1:5" x14ac:dyDescent="0.3">
      <c r="A72" s="23">
        <v>5.9930432825389888</v>
      </c>
      <c r="B72" s="23">
        <v>5.3571428571428568E-2</v>
      </c>
      <c r="C72" s="20">
        <v>59.948761742100757</v>
      </c>
      <c r="D72" s="20">
        <v>59.948761742100757</v>
      </c>
      <c r="E72" s="18">
        <v>63</v>
      </c>
    </row>
    <row r="73" spans="1:5" x14ac:dyDescent="0.3">
      <c r="A73" s="23">
        <v>5.3658397387426628</v>
      </c>
      <c r="B73" s="23">
        <v>0.141156462585034</v>
      </c>
      <c r="C73" s="20">
        <v>69.94022203245089</v>
      </c>
      <c r="D73" s="20">
        <v>69.94022203245089</v>
      </c>
      <c r="E73" s="18">
        <v>166</v>
      </c>
    </row>
    <row r="74" spans="1:5" x14ac:dyDescent="0.3">
      <c r="A74" s="23">
        <v>4.8042763491726248</v>
      </c>
      <c r="B74" s="23">
        <v>0.37159863945578231</v>
      </c>
      <c r="C74" s="20">
        <v>78.309137489325366</v>
      </c>
      <c r="D74" s="20">
        <v>78.309137489325366</v>
      </c>
      <c r="E74" s="18">
        <v>437</v>
      </c>
    </row>
    <row r="75" spans="1:5" x14ac:dyDescent="0.3">
      <c r="A75" s="23">
        <v>4.3014835259742306</v>
      </c>
      <c r="B75" s="23">
        <v>0.90221088435374153</v>
      </c>
      <c r="C75" s="20">
        <v>84.713919726729287</v>
      </c>
      <c r="D75" s="20">
        <v>84.713919726729287</v>
      </c>
      <c r="E75" s="18">
        <v>1061</v>
      </c>
    </row>
    <row r="76" spans="1:5" x14ac:dyDescent="0.3">
      <c r="A76" s="23">
        <v>5.8808941452821999E-2</v>
      </c>
      <c r="B76" s="23">
        <v>1.0374149659863949</v>
      </c>
      <c r="C76" s="20">
        <v>100</v>
      </c>
      <c r="D76" s="20">
        <v>100</v>
      </c>
      <c r="E76" s="18">
        <v>1220</v>
      </c>
    </row>
    <row r="77" spans="1:5" x14ac:dyDescent="0.3">
      <c r="A77" s="23">
        <v>0.58808941452821994</v>
      </c>
      <c r="B77" s="23">
        <v>1.0374149659863949</v>
      </c>
      <c r="C77" s="20">
        <v>100</v>
      </c>
      <c r="D77" s="20">
        <v>100</v>
      </c>
      <c r="E77" s="18">
        <v>1220</v>
      </c>
    </row>
    <row r="78" spans="1:5" x14ac:dyDescent="0.3">
      <c r="A78" s="23">
        <v>0.65683014903022274</v>
      </c>
      <c r="B78" s="23">
        <v>1.0374149659863949</v>
      </c>
      <c r="C78" s="20">
        <v>100</v>
      </c>
      <c r="D78" s="20">
        <v>100</v>
      </c>
      <c r="E78" s="18">
        <v>1220</v>
      </c>
    </row>
    <row r="79" spans="1:5" x14ac:dyDescent="0.3">
      <c r="A79" s="23">
        <v>0.73360586675610406</v>
      </c>
      <c r="B79" s="23">
        <v>1.06547619047619</v>
      </c>
      <c r="C79" s="20">
        <v>100</v>
      </c>
      <c r="D79" s="20">
        <v>100</v>
      </c>
      <c r="E79" s="18">
        <v>1253</v>
      </c>
    </row>
    <row r="80" spans="1:5" x14ac:dyDescent="0.3">
      <c r="A80" s="23">
        <v>0.81935576272430144</v>
      </c>
      <c r="B80" s="23">
        <v>2.0535714285714279</v>
      </c>
      <c r="C80" s="20">
        <v>100</v>
      </c>
      <c r="D80" s="20">
        <v>100</v>
      </c>
      <c r="E80" s="18">
        <v>2415</v>
      </c>
    </row>
    <row r="81" spans="1:5" x14ac:dyDescent="0.3">
      <c r="A81" s="23">
        <v>3.8513106198427138</v>
      </c>
      <c r="B81" s="23">
        <v>2.1641156462585029</v>
      </c>
      <c r="C81" s="20">
        <v>100</v>
      </c>
      <c r="D81" s="20">
        <v>90.435525192143459</v>
      </c>
      <c r="E81" s="18">
        <v>2545</v>
      </c>
    </row>
    <row r="82" spans="1:5" x14ac:dyDescent="0.3">
      <c r="A82" s="23">
        <v>3.4482506793174039</v>
      </c>
      <c r="B82" s="23">
        <v>4.9855442176870746</v>
      </c>
      <c r="C82" s="20">
        <v>100</v>
      </c>
      <c r="D82" s="20">
        <v>94.192997438087104</v>
      </c>
      <c r="E82" s="18">
        <v>5863</v>
      </c>
    </row>
    <row r="83" spans="1:5" x14ac:dyDescent="0.3">
      <c r="A83" s="23">
        <v>3.0873730844121172</v>
      </c>
      <c r="B83" s="23">
        <v>11.01700680272109</v>
      </c>
      <c r="C83" s="20">
        <v>100</v>
      </c>
      <c r="D83" s="20">
        <v>96.75491033304867</v>
      </c>
      <c r="E83" s="18">
        <v>12956</v>
      </c>
    </row>
    <row r="84" spans="1:5" x14ac:dyDescent="0.3">
      <c r="A84" s="23">
        <v>0.91512881280258085</v>
      </c>
      <c r="B84" s="23">
        <v>11.988095238095241</v>
      </c>
      <c r="C84" s="20">
        <v>100</v>
      </c>
      <c r="D84" s="20">
        <v>100</v>
      </c>
      <c r="E84" s="18">
        <v>14098</v>
      </c>
    </row>
    <row r="85" spans="1:5" x14ac:dyDescent="0.3">
      <c r="A85" s="23">
        <v>2.7642632304909061</v>
      </c>
      <c r="B85" s="23">
        <v>22.78401360544218</v>
      </c>
      <c r="C85" s="20">
        <v>100</v>
      </c>
      <c r="D85" s="20">
        <v>98.377455166524342</v>
      </c>
      <c r="E85" s="18">
        <v>26794</v>
      </c>
    </row>
    <row r="86" spans="1:5" x14ac:dyDescent="0.3">
      <c r="A86" s="23">
        <v>1</v>
      </c>
      <c r="B86" s="23">
        <v>42.669217687074827</v>
      </c>
      <c r="C86" s="20">
        <v>100</v>
      </c>
      <c r="D86" s="20">
        <v>100</v>
      </c>
      <c r="E86" s="18">
        <v>50179</v>
      </c>
    </row>
    <row r="87" spans="1:5" x14ac:dyDescent="0.3">
      <c r="A87" s="23">
        <v>2.474968524543903</v>
      </c>
      <c r="B87" s="23">
        <v>44.737244897959187</v>
      </c>
      <c r="C87" s="20">
        <v>100</v>
      </c>
      <c r="D87" s="20">
        <v>99.231426131511526</v>
      </c>
      <c r="E87" s="18">
        <v>52611</v>
      </c>
    </row>
    <row r="88" spans="1:5" x14ac:dyDescent="0.3">
      <c r="A88" s="23">
        <v>1.022096605797904</v>
      </c>
      <c r="B88" s="23">
        <v>55.255102040816332</v>
      </c>
      <c r="C88" s="20">
        <v>100</v>
      </c>
      <c r="D88" s="20">
        <v>100</v>
      </c>
      <c r="E88" s="18">
        <v>64980</v>
      </c>
    </row>
    <row r="89" spans="1:5" x14ac:dyDescent="0.3">
      <c r="A89" s="23">
        <v>2.2159500332373212</v>
      </c>
      <c r="B89" s="23">
        <v>81.421768707482997</v>
      </c>
      <c r="C89" s="20">
        <v>100</v>
      </c>
      <c r="D89" s="20">
        <v>99.829205807002566</v>
      </c>
      <c r="E89" s="18">
        <v>95752</v>
      </c>
    </row>
    <row r="90" spans="1:5" x14ac:dyDescent="0.3">
      <c r="A90" s="23">
        <v>1.984039191249674</v>
      </c>
      <c r="B90" s="23">
        <v>136.89455782312919</v>
      </c>
      <c r="C90" s="20">
        <v>100</v>
      </c>
      <c r="D90" s="20">
        <v>99.914602903501276</v>
      </c>
      <c r="E90" s="18">
        <v>160988</v>
      </c>
    </row>
    <row r="91" spans="1:5" x14ac:dyDescent="0.3">
      <c r="A91" s="23">
        <v>1.1415676754666479</v>
      </c>
      <c r="B91" s="23">
        <v>147.42176870748301</v>
      </c>
      <c r="C91" s="20">
        <v>100</v>
      </c>
      <c r="D91" s="20">
        <v>100</v>
      </c>
      <c r="E91" s="18">
        <v>173368</v>
      </c>
    </row>
    <row r="92" spans="1:5" x14ac:dyDescent="0.3">
      <c r="A92" s="23">
        <v>1.776399040308632</v>
      </c>
      <c r="B92" s="23">
        <v>207.36479591836729</v>
      </c>
      <c r="C92" s="20">
        <v>100</v>
      </c>
      <c r="D92" s="20">
        <v>100</v>
      </c>
      <c r="E92" s="18">
        <v>243861</v>
      </c>
    </row>
    <row r="93" spans="1:5" x14ac:dyDescent="0.3">
      <c r="A93" s="23">
        <v>1.2750035077682269</v>
      </c>
      <c r="B93" s="23">
        <v>248.4319727891156</v>
      </c>
      <c r="C93" s="20">
        <v>100</v>
      </c>
      <c r="D93" s="20">
        <v>100</v>
      </c>
      <c r="E93" s="18">
        <v>292156</v>
      </c>
    </row>
    <row r="94" spans="1:5" x14ac:dyDescent="0.3">
      <c r="A94" s="23">
        <v>1.5904895247668149</v>
      </c>
      <c r="B94" s="23">
        <v>272.12159863945578</v>
      </c>
      <c r="C94" s="20">
        <v>100</v>
      </c>
      <c r="D94" s="20">
        <v>100</v>
      </c>
      <c r="E94" s="18">
        <v>320015</v>
      </c>
    </row>
    <row r="95" spans="1:5" x14ac:dyDescent="0.3">
      <c r="A95" s="23">
        <v>1.4240364191783541</v>
      </c>
      <c r="B95" s="23">
        <v>295.92687074829928</v>
      </c>
      <c r="C95" s="20">
        <v>100</v>
      </c>
      <c r="D95" s="20">
        <v>100</v>
      </c>
      <c r="E95" s="18">
        <v>348010</v>
      </c>
    </row>
    <row r="97" spans="1:5" ht="22.05" customHeight="1" x14ac:dyDescent="0.3">
      <c r="A97" s="41" t="s">
        <v>36</v>
      </c>
      <c r="B97" s="35"/>
      <c r="C97" s="35"/>
      <c r="D97" s="35"/>
      <c r="E97" s="35"/>
    </row>
    <row r="98" spans="1:5" ht="18" customHeight="1" x14ac:dyDescent="0.3">
      <c r="A98" s="22" t="s">
        <v>108</v>
      </c>
      <c r="B98" s="22" t="s">
        <v>109</v>
      </c>
      <c r="C98" s="22" t="s">
        <v>110</v>
      </c>
      <c r="D98" s="22" t="s">
        <v>111</v>
      </c>
      <c r="E98" s="22" t="s">
        <v>112</v>
      </c>
    </row>
    <row r="99" spans="1:5" x14ac:dyDescent="0.3">
      <c r="A99" s="23">
        <v>96.914203996458568</v>
      </c>
      <c r="B99" s="23">
        <v>0</v>
      </c>
      <c r="C99" s="20">
        <v>0</v>
      </c>
      <c r="D99" s="20">
        <v>0</v>
      </c>
      <c r="E99" s="18">
        <v>0</v>
      </c>
    </row>
    <row r="100" spans="1:5" x14ac:dyDescent="0.3">
      <c r="A100" s="23">
        <v>9.6914203996458568</v>
      </c>
      <c r="B100" s="23">
        <v>1.360544217687075E-2</v>
      </c>
      <c r="C100" s="20">
        <v>26.9000853970965</v>
      </c>
      <c r="D100" s="20">
        <v>26.9000853970965</v>
      </c>
      <c r="E100" s="18">
        <v>16</v>
      </c>
    </row>
    <row r="101" spans="1:5" x14ac:dyDescent="0.3">
      <c r="A101" s="23">
        <v>8.5846740539112805</v>
      </c>
      <c r="B101" s="23">
        <v>3.1462585034013613E-2</v>
      </c>
      <c r="C101" s="20">
        <v>36.549957301451762</v>
      </c>
      <c r="D101" s="20">
        <v>36.549957301451762</v>
      </c>
      <c r="E101" s="18">
        <v>37</v>
      </c>
    </row>
    <row r="102" spans="1:5" x14ac:dyDescent="0.3">
      <c r="A102" s="23">
        <v>7.6043165576214742</v>
      </c>
      <c r="B102" s="23">
        <v>7.1428571428571425E-2</v>
      </c>
      <c r="C102" s="20">
        <v>49.188727583262171</v>
      </c>
      <c r="D102" s="20">
        <v>49.188727583262171</v>
      </c>
      <c r="E102" s="18">
        <v>84</v>
      </c>
    </row>
    <row r="103" spans="1:5" x14ac:dyDescent="0.3">
      <c r="A103" s="23">
        <v>6.735914484973379</v>
      </c>
      <c r="B103" s="23">
        <v>0.17772108843537421</v>
      </c>
      <c r="C103" s="20">
        <v>60.802732707087962</v>
      </c>
      <c r="D103" s="20">
        <v>60.802732707087962</v>
      </c>
      <c r="E103" s="18">
        <v>209</v>
      </c>
    </row>
    <row r="104" spans="1:5" x14ac:dyDescent="0.3">
      <c r="A104" s="23">
        <v>5.9666826867431322</v>
      </c>
      <c r="B104" s="23">
        <v>0.46343537414965991</v>
      </c>
      <c r="C104" s="20">
        <v>71.477369769427838</v>
      </c>
      <c r="D104" s="20">
        <v>71.477369769427838</v>
      </c>
      <c r="E104" s="18">
        <v>545</v>
      </c>
    </row>
    <row r="105" spans="1:5" x14ac:dyDescent="0.3">
      <c r="A105" s="23">
        <v>5.277891872736129E-2</v>
      </c>
      <c r="B105" s="23">
        <v>1.0374149659863949</v>
      </c>
      <c r="C105" s="20">
        <v>100</v>
      </c>
      <c r="D105" s="20">
        <v>100</v>
      </c>
      <c r="E105" s="18">
        <v>1220</v>
      </c>
    </row>
    <row r="106" spans="1:5" x14ac:dyDescent="0.3">
      <c r="A106" s="23">
        <v>0.5277891872736129</v>
      </c>
      <c r="B106" s="23">
        <v>1.0374149659863949</v>
      </c>
      <c r="C106" s="20">
        <v>100</v>
      </c>
      <c r="D106" s="20">
        <v>100</v>
      </c>
      <c r="E106" s="18">
        <v>1220</v>
      </c>
    </row>
    <row r="107" spans="1:5" x14ac:dyDescent="0.3">
      <c r="A107" s="23">
        <v>0.59583239434996749</v>
      </c>
      <c r="B107" s="23">
        <v>1.0382653061224489</v>
      </c>
      <c r="C107" s="20">
        <v>100</v>
      </c>
      <c r="D107" s="20">
        <v>100</v>
      </c>
      <c r="E107" s="18">
        <v>1221</v>
      </c>
    </row>
    <row r="108" spans="1:5" x14ac:dyDescent="0.3">
      <c r="A108" s="23">
        <v>0.67264781226518378</v>
      </c>
      <c r="B108" s="23">
        <v>1.05952380952381</v>
      </c>
      <c r="C108" s="20">
        <v>100</v>
      </c>
      <c r="D108" s="20">
        <v>100</v>
      </c>
      <c r="E108" s="18">
        <v>1246</v>
      </c>
    </row>
    <row r="109" spans="1:5" x14ac:dyDescent="0.3">
      <c r="A109" s="23">
        <v>5.2852960594586493</v>
      </c>
      <c r="B109" s="23">
        <v>1.0671768707482989</v>
      </c>
      <c r="C109" s="20">
        <v>100</v>
      </c>
      <c r="D109" s="20">
        <v>80.273270708795891</v>
      </c>
      <c r="E109" s="18">
        <v>1255</v>
      </c>
    </row>
    <row r="110" spans="1:5" x14ac:dyDescent="0.3">
      <c r="A110" s="23">
        <v>0.75936636482940945</v>
      </c>
      <c r="B110" s="23">
        <v>1.4591836734693879</v>
      </c>
      <c r="C110" s="20">
        <v>100</v>
      </c>
      <c r="D110" s="20">
        <v>100</v>
      </c>
      <c r="E110" s="18">
        <v>1716</v>
      </c>
    </row>
    <row r="111" spans="1:5" x14ac:dyDescent="0.3">
      <c r="A111" s="23">
        <v>4.681722810263417</v>
      </c>
      <c r="B111" s="23">
        <v>2.399659863945578</v>
      </c>
      <c r="C111" s="20">
        <v>100</v>
      </c>
      <c r="D111" s="20">
        <v>88.215200683176775</v>
      </c>
      <c r="E111" s="18">
        <v>2822</v>
      </c>
    </row>
    <row r="112" spans="1:5" x14ac:dyDescent="0.3">
      <c r="A112" s="23">
        <v>4.1470767626943124</v>
      </c>
      <c r="B112" s="23">
        <v>5.2619047619047619</v>
      </c>
      <c r="C112" s="20">
        <v>100</v>
      </c>
      <c r="D112" s="20">
        <v>92.997438087105039</v>
      </c>
      <c r="E112" s="18">
        <v>6188</v>
      </c>
    </row>
    <row r="113" spans="1:5" x14ac:dyDescent="0.3">
      <c r="A113" s="23">
        <v>0.8572647758897326</v>
      </c>
      <c r="B113" s="23">
        <v>5.4217687074829932</v>
      </c>
      <c r="C113" s="20">
        <v>100</v>
      </c>
      <c r="D113" s="20">
        <v>100</v>
      </c>
      <c r="E113" s="18">
        <v>6376</v>
      </c>
    </row>
    <row r="114" spans="1:5" x14ac:dyDescent="0.3">
      <c r="A114" s="23">
        <v>3.6734865289283292</v>
      </c>
      <c r="B114" s="23">
        <v>11.202380952380951</v>
      </c>
      <c r="C114" s="20">
        <v>100</v>
      </c>
      <c r="D114" s="20">
        <v>96.584116140051236</v>
      </c>
      <c r="E114" s="18">
        <v>13174</v>
      </c>
    </row>
    <row r="115" spans="1:5" x14ac:dyDescent="0.3">
      <c r="A115" s="23">
        <v>3.253979622371558</v>
      </c>
      <c r="B115" s="23">
        <v>22.772959183673471</v>
      </c>
      <c r="C115" s="20">
        <v>100</v>
      </c>
      <c r="D115" s="20">
        <v>98.548249359521776</v>
      </c>
      <c r="E115" s="18">
        <v>26781</v>
      </c>
    </row>
    <row r="116" spans="1:5" x14ac:dyDescent="0.3">
      <c r="A116" s="23">
        <v>0.96778436604361373</v>
      </c>
      <c r="B116" s="23">
        <v>25.742346938775508</v>
      </c>
      <c r="C116" s="20">
        <v>100</v>
      </c>
      <c r="D116" s="20">
        <v>100</v>
      </c>
      <c r="E116" s="18">
        <v>30273</v>
      </c>
    </row>
    <row r="117" spans="1:5" x14ac:dyDescent="0.3">
      <c r="A117" s="23">
        <v>1</v>
      </c>
      <c r="B117" s="23">
        <v>36.85289115646259</v>
      </c>
      <c r="C117" s="20">
        <v>100</v>
      </c>
      <c r="D117" s="20">
        <v>100</v>
      </c>
      <c r="E117" s="18">
        <v>43339</v>
      </c>
    </row>
    <row r="118" spans="1:5" x14ac:dyDescent="0.3">
      <c r="A118" s="23">
        <v>2.8823798044247368</v>
      </c>
      <c r="B118" s="23">
        <v>44.071428571428569</v>
      </c>
      <c r="C118" s="20">
        <v>100</v>
      </c>
      <c r="D118" s="20">
        <v>99.231426131511526</v>
      </c>
      <c r="E118" s="18">
        <v>51828</v>
      </c>
    </row>
    <row r="119" spans="1:5" x14ac:dyDescent="0.3">
      <c r="A119" s="23">
        <v>2.553216154101325</v>
      </c>
      <c r="B119" s="23">
        <v>79.323979591836732</v>
      </c>
      <c r="C119" s="20">
        <v>100</v>
      </c>
      <c r="D119" s="20">
        <v>99.487617421007684</v>
      </c>
      <c r="E119" s="18">
        <v>93285</v>
      </c>
    </row>
    <row r="120" spans="1:5" x14ac:dyDescent="0.3">
      <c r="A120" s="23">
        <v>1.092552272646873</v>
      </c>
      <c r="B120" s="23">
        <v>83.352891156462576</v>
      </c>
      <c r="C120" s="20">
        <v>100</v>
      </c>
      <c r="D120" s="20">
        <v>100</v>
      </c>
      <c r="E120" s="18">
        <v>98023</v>
      </c>
    </row>
    <row r="121" spans="1:5" x14ac:dyDescent="0.3">
      <c r="A121" s="23">
        <v>2.2616425217651002</v>
      </c>
      <c r="B121" s="23">
        <v>132.75595238095241</v>
      </c>
      <c r="C121" s="20">
        <v>100</v>
      </c>
      <c r="D121" s="20">
        <v>99.743808710503842</v>
      </c>
      <c r="E121" s="18">
        <v>156121</v>
      </c>
    </row>
    <row r="122" spans="1:5" x14ac:dyDescent="0.3">
      <c r="A122" s="23">
        <v>1.233405405530237</v>
      </c>
      <c r="B122" s="23">
        <v>176.68112244897961</v>
      </c>
      <c r="C122" s="20">
        <v>100</v>
      </c>
      <c r="D122" s="20">
        <v>100</v>
      </c>
      <c r="E122" s="18">
        <v>207777</v>
      </c>
    </row>
    <row r="123" spans="1:5" x14ac:dyDescent="0.3">
      <c r="A123" s="23">
        <v>2.00336618113572</v>
      </c>
      <c r="B123" s="23">
        <v>200.05357142857139</v>
      </c>
      <c r="C123" s="20">
        <v>100</v>
      </c>
      <c r="D123" s="20">
        <v>99.914602903501276</v>
      </c>
      <c r="E123" s="18">
        <v>235263</v>
      </c>
    </row>
    <row r="124" spans="1:5" x14ac:dyDescent="0.3">
      <c r="A124" s="23">
        <v>1.3924174911152361</v>
      </c>
      <c r="B124" s="23">
        <v>263.79761904761898</v>
      </c>
      <c r="C124" s="20">
        <v>100</v>
      </c>
      <c r="D124" s="20">
        <v>100</v>
      </c>
      <c r="E124" s="18">
        <v>310226</v>
      </c>
    </row>
    <row r="125" spans="1:5" x14ac:dyDescent="0.3">
      <c r="A125" s="23">
        <v>1.7745846291331659</v>
      </c>
      <c r="B125" s="23">
        <v>265.0841836734694</v>
      </c>
      <c r="C125" s="20">
        <v>100</v>
      </c>
      <c r="D125" s="20">
        <v>100</v>
      </c>
      <c r="E125" s="18">
        <v>311739</v>
      </c>
    </row>
    <row r="126" spans="1:5" x14ac:dyDescent="0.3">
      <c r="A126" s="23">
        <v>1.571929603089548</v>
      </c>
      <c r="B126" s="23">
        <v>295.71173469387747</v>
      </c>
      <c r="C126" s="20">
        <v>100</v>
      </c>
      <c r="D126" s="20">
        <v>100</v>
      </c>
      <c r="E126" s="18">
        <v>347757</v>
      </c>
    </row>
    <row r="128" spans="1:5" ht="22.05" customHeight="1" x14ac:dyDescent="0.3">
      <c r="A128" s="41" t="s">
        <v>38</v>
      </c>
      <c r="B128" s="35"/>
      <c r="C128" s="35"/>
      <c r="D128" s="35"/>
      <c r="E128" s="35"/>
    </row>
    <row r="129" spans="1:5" ht="18" customHeight="1" x14ac:dyDescent="0.3">
      <c r="A129" s="22" t="s">
        <v>108</v>
      </c>
      <c r="B129" s="22" t="s">
        <v>109</v>
      </c>
      <c r="C129" s="22" t="s">
        <v>110</v>
      </c>
      <c r="D129" s="22" t="s">
        <v>111</v>
      </c>
      <c r="E129" s="22" t="s">
        <v>112</v>
      </c>
    </row>
    <row r="130" spans="1:5" x14ac:dyDescent="0.3">
      <c r="A130" s="23">
        <v>21.953398959405529</v>
      </c>
      <c r="B130" s="23">
        <v>0</v>
      </c>
      <c r="C130" s="20">
        <v>0</v>
      </c>
      <c r="D130" s="20">
        <v>0</v>
      </c>
      <c r="E130" s="18">
        <v>0</v>
      </c>
    </row>
    <row r="131" spans="1:5" x14ac:dyDescent="0.3">
      <c r="A131" s="23">
        <v>2.195339895940553</v>
      </c>
      <c r="B131" s="23">
        <v>0.18367346938775511</v>
      </c>
      <c r="C131" s="20">
        <v>4.4406490179333904</v>
      </c>
      <c r="D131" s="20">
        <v>4.4406490179333904</v>
      </c>
      <c r="E131" s="18">
        <v>216</v>
      </c>
    </row>
    <row r="132" spans="1:5" x14ac:dyDescent="0.3">
      <c r="A132" s="23">
        <v>1</v>
      </c>
      <c r="B132" s="23">
        <v>17.56887755102041</v>
      </c>
      <c r="C132" s="20">
        <v>96.327924850555078</v>
      </c>
      <c r="D132" s="20">
        <v>96.327924850555078</v>
      </c>
      <c r="E132" s="18">
        <v>20661</v>
      </c>
    </row>
    <row r="133" spans="1:5" x14ac:dyDescent="0.3">
      <c r="A133" s="23">
        <v>0.85248124959017502</v>
      </c>
      <c r="B133" s="23">
        <v>20.338435374149661</v>
      </c>
      <c r="C133" s="20">
        <v>96.498719043552512</v>
      </c>
      <c r="D133" s="20">
        <v>96.498719043552512</v>
      </c>
      <c r="E133" s="18">
        <v>23918</v>
      </c>
    </row>
    <row r="134" spans="1:5" x14ac:dyDescent="0.3">
      <c r="A134" s="23">
        <v>0.53122238602798022</v>
      </c>
      <c r="B134" s="23">
        <v>26.66241496598639</v>
      </c>
      <c r="C134" s="20">
        <v>97.096498719043552</v>
      </c>
      <c r="D134" s="20">
        <v>97.096498719043552</v>
      </c>
      <c r="E134" s="18">
        <v>31355</v>
      </c>
    </row>
    <row r="135" spans="1:5" x14ac:dyDescent="0.3">
      <c r="A135" s="23">
        <v>0.33103041686010759</v>
      </c>
      <c r="B135" s="23">
        <v>30.763605442176871</v>
      </c>
      <c r="C135" s="20">
        <v>97.523484201537144</v>
      </c>
      <c r="D135" s="20">
        <v>97.523484201537144</v>
      </c>
      <c r="E135" s="18">
        <v>36178</v>
      </c>
    </row>
    <row r="136" spans="1:5" x14ac:dyDescent="0.3">
      <c r="A136" s="23">
        <v>0.20628109765088981</v>
      </c>
      <c r="B136" s="23">
        <v>35.272959183673471</v>
      </c>
      <c r="C136" s="20">
        <v>98.03586678052946</v>
      </c>
      <c r="D136" s="20">
        <v>98.03586678052946</v>
      </c>
      <c r="E136" s="18">
        <v>41481</v>
      </c>
    </row>
    <row r="137" spans="1:5" x14ac:dyDescent="0.3">
      <c r="A137" s="23">
        <v>1.368022696363832</v>
      </c>
      <c r="B137" s="23">
        <v>36.685374149659857</v>
      </c>
      <c r="C137" s="20">
        <v>98.03586678052946</v>
      </c>
      <c r="D137" s="20">
        <v>74.039282664389404</v>
      </c>
      <c r="E137" s="18">
        <v>43142</v>
      </c>
    </row>
    <row r="138" spans="1:5" x14ac:dyDescent="0.3">
      <c r="A138" s="23">
        <v>0.128543750304487</v>
      </c>
      <c r="B138" s="23">
        <v>40.36904761904762</v>
      </c>
      <c r="C138" s="20">
        <v>98.292058070025618</v>
      </c>
      <c r="D138" s="20">
        <v>98.292058070025618</v>
      </c>
      <c r="E138" s="18">
        <v>47474</v>
      </c>
    </row>
    <row r="139" spans="1:5" x14ac:dyDescent="0.3">
      <c r="A139" s="23">
        <v>8.010184127634748E-2</v>
      </c>
      <c r="B139" s="23">
        <v>44.729591836734691</v>
      </c>
      <c r="C139" s="20">
        <v>98.71904355251921</v>
      </c>
      <c r="D139" s="20">
        <v>98.71904355251921</v>
      </c>
      <c r="E139" s="18">
        <v>52602</v>
      </c>
    </row>
    <row r="140" spans="1:5" x14ac:dyDescent="0.3">
      <c r="A140" s="23">
        <v>4.9915339801916418E-2</v>
      </c>
      <c r="B140" s="23">
        <v>49.226190476190482</v>
      </c>
      <c r="C140" s="20">
        <v>98.975234842015368</v>
      </c>
      <c r="D140" s="20">
        <v>98.975234842015368</v>
      </c>
      <c r="E140" s="18">
        <v>57890</v>
      </c>
    </row>
    <row r="141" spans="1:5" x14ac:dyDescent="0.3">
      <c r="A141" s="23">
        <v>3.11046676061426E-2</v>
      </c>
      <c r="B141" s="23">
        <v>53.848639455782319</v>
      </c>
      <c r="C141" s="20">
        <v>99.316823228010236</v>
      </c>
      <c r="D141" s="20">
        <v>99.316823228010236</v>
      </c>
      <c r="E141" s="18">
        <v>63326</v>
      </c>
    </row>
    <row r="142" spans="1:5" x14ac:dyDescent="0.3">
      <c r="A142" s="23">
        <v>7.0722536216702144E-4</v>
      </c>
      <c r="B142" s="23">
        <v>55.344387755102041</v>
      </c>
      <c r="C142" s="20">
        <v>99.743808710503842</v>
      </c>
      <c r="D142" s="20">
        <v>99.743808710503842</v>
      </c>
      <c r="E142" s="18">
        <v>65085</v>
      </c>
    </row>
    <row r="143" spans="1:5" x14ac:dyDescent="0.3">
      <c r="A143" s="23">
        <v>4.4070640208272092E-4</v>
      </c>
      <c r="B143" s="23">
        <v>55.352040816326529</v>
      </c>
      <c r="C143" s="20">
        <v>99.743808710503842</v>
      </c>
      <c r="D143" s="20">
        <v>99.743808710503842</v>
      </c>
      <c r="E143" s="18">
        <v>65094</v>
      </c>
    </row>
    <row r="144" spans="1:5" x14ac:dyDescent="0.3">
      <c r="A144" s="23">
        <v>1.1349227298004931E-3</v>
      </c>
      <c r="B144" s="23">
        <v>55.51615646258503</v>
      </c>
      <c r="C144" s="20">
        <v>99.743808710503842</v>
      </c>
      <c r="D144" s="20">
        <v>99.743808710503842</v>
      </c>
      <c r="E144" s="18">
        <v>65287</v>
      </c>
    </row>
    <row r="145" spans="1:5" x14ac:dyDescent="0.3">
      <c r="A145" s="23">
        <v>2.7462551999206793E-4</v>
      </c>
      <c r="B145" s="23">
        <v>55.5374149659864</v>
      </c>
      <c r="C145" s="20">
        <v>99.743808710503842</v>
      </c>
      <c r="D145" s="20">
        <v>99.743808710503842</v>
      </c>
      <c r="E145" s="18">
        <v>65312</v>
      </c>
    </row>
    <row r="146" spans="1:5" x14ac:dyDescent="0.3">
      <c r="A146" s="23">
        <v>1.7113247249073881E-4</v>
      </c>
      <c r="B146" s="23">
        <v>55.54676870748299</v>
      </c>
      <c r="C146" s="20">
        <v>99.743808710503842</v>
      </c>
      <c r="D146" s="20">
        <v>99.743808710503842</v>
      </c>
      <c r="E146" s="18">
        <v>65323</v>
      </c>
    </row>
    <row r="147" spans="1:5" x14ac:dyDescent="0.3">
      <c r="A147" s="23">
        <v>1.06640938328089E-4</v>
      </c>
      <c r="B147" s="23">
        <v>55.566326530612237</v>
      </c>
      <c r="C147" s="20">
        <v>99.743808710503842</v>
      </c>
      <c r="D147" s="20">
        <v>99.743808710503842</v>
      </c>
      <c r="E147" s="18">
        <v>65346</v>
      </c>
    </row>
    <row r="148" spans="1:5" x14ac:dyDescent="0.3">
      <c r="A148" s="23">
        <v>6.6453137513750911E-5</v>
      </c>
      <c r="B148" s="23">
        <v>55.654761904761912</v>
      </c>
      <c r="C148" s="20">
        <v>99.743808710503842</v>
      </c>
      <c r="D148" s="20">
        <v>99.743808710503842</v>
      </c>
      <c r="E148" s="18">
        <v>65450</v>
      </c>
    </row>
    <row r="149" spans="1:5" x14ac:dyDescent="0.3">
      <c r="A149" s="23">
        <v>2.580468464662938E-5</v>
      </c>
      <c r="B149" s="23">
        <v>55.699829931972793</v>
      </c>
      <c r="C149" s="20">
        <v>99.743808710503842</v>
      </c>
      <c r="D149" s="20">
        <v>99.743808710503842</v>
      </c>
      <c r="E149" s="18">
        <v>65503</v>
      </c>
    </row>
    <row r="150" spans="1:5" x14ac:dyDescent="0.3">
      <c r="A150" s="23">
        <v>4.1410170940500143E-5</v>
      </c>
      <c r="B150" s="23">
        <v>55.705782312925173</v>
      </c>
      <c r="C150" s="20">
        <v>99.743808710503842</v>
      </c>
      <c r="D150" s="20">
        <v>99.743808710503842</v>
      </c>
      <c r="E150" s="18">
        <v>65510</v>
      </c>
    </row>
    <row r="151" spans="1:5" x14ac:dyDescent="0.3">
      <c r="A151" s="23">
        <v>2.5804684646629372E-6</v>
      </c>
      <c r="B151" s="23">
        <v>55.782312925170068</v>
      </c>
      <c r="C151" s="20">
        <v>99.743808710503842</v>
      </c>
      <c r="D151" s="20">
        <v>99.743808710503842</v>
      </c>
      <c r="E151" s="18">
        <v>65600</v>
      </c>
    </row>
    <row r="152" spans="1:5" x14ac:dyDescent="0.3">
      <c r="A152" s="23">
        <v>1.821271791881253E-3</v>
      </c>
      <c r="B152" s="23">
        <v>55.889455782312929</v>
      </c>
      <c r="C152" s="20">
        <v>99.743808710503842</v>
      </c>
      <c r="D152" s="20">
        <v>99.743808710503842</v>
      </c>
      <c r="E152" s="18">
        <v>65726</v>
      </c>
    </row>
    <row r="153" spans="1:5" x14ac:dyDescent="0.3">
      <c r="A153" s="23">
        <v>2.9226931955847399E-3</v>
      </c>
      <c r="B153" s="23">
        <v>56.61904761904762</v>
      </c>
      <c r="C153" s="20">
        <v>99.743808710503842</v>
      </c>
      <c r="D153" s="20">
        <v>99.743808710503842</v>
      </c>
      <c r="E153" s="18">
        <v>66584</v>
      </c>
    </row>
    <row r="154" spans="1:5" x14ac:dyDescent="0.3">
      <c r="A154" s="23">
        <v>1.938282601557029E-2</v>
      </c>
      <c r="B154" s="23">
        <v>56.742346938775512</v>
      </c>
      <c r="C154" s="20">
        <v>99.743808710503842</v>
      </c>
      <c r="D154" s="20">
        <v>99.487617421007684</v>
      </c>
      <c r="E154" s="18">
        <v>66729</v>
      </c>
    </row>
    <row r="155" spans="1:5" x14ac:dyDescent="0.3">
      <c r="A155" s="23">
        <v>4.6902036003609706E-3</v>
      </c>
      <c r="B155" s="23">
        <v>57.618197278911559</v>
      </c>
      <c r="C155" s="20">
        <v>99.743808710503842</v>
      </c>
      <c r="D155" s="20">
        <v>99.743808710503842</v>
      </c>
      <c r="E155" s="18">
        <v>67759</v>
      </c>
    </row>
    <row r="156" spans="1:5" x14ac:dyDescent="0.3">
      <c r="A156" s="23">
        <v>1.207837836774296E-2</v>
      </c>
      <c r="B156" s="23">
        <v>57.939625850340143</v>
      </c>
      <c r="C156" s="20">
        <v>99.743808710503842</v>
      </c>
      <c r="D156" s="20">
        <v>99.743808710503842</v>
      </c>
      <c r="E156" s="18">
        <v>68137</v>
      </c>
    </row>
    <row r="157" spans="1:5" x14ac:dyDescent="0.3">
      <c r="A157" s="23">
        <v>7.5266229948702827E-3</v>
      </c>
      <c r="B157" s="23">
        <v>58.493197278911559</v>
      </c>
      <c r="C157" s="20">
        <v>99.743808710503842</v>
      </c>
      <c r="D157" s="20">
        <v>99.743808710503842</v>
      </c>
      <c r="E157" s="18">
        <v>68788</v>
      </c>
    </row>
  </sheetData>
  <mergeCells count="7">
    <mergeCell ref="A1:H1"/>
    <mergeCell ref="A35:E35"/>
    <mergeCell ref="A4:E4"/>
    <mergeCell ref="A2:H2"/>
    <mergeCell ref="A128:E128"/>
    <mergeCell ref="A66:E66"/>
    <mergeCell ref="A97:E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7"/>
  <sheetViews>
    <sheetView topLeftCell="A123" workbookViewId="0">
      <selection activeCell="A6" sqref="A6:A13"/>
    </sheetView>
  </sheetViews>
  <sheetFormatPr defaultRowHeight="14.4" x14ac:dyDescent="0.3"/>
  <cols>
    <col min="1" max="2" width="22" customWidth="1"/>
    <col min="3" max="4" width="20" customWidth="1"/>
    <col min="5" max="5" width="19" customWidth="1"/>
    <col min="6" max="8" width="12" customWidth="1"/>
  </cols>
  <sheetData>
    <row r="1" spans="1:8" ht="17.399999999999999" x14ac:dyDescent="0.3">
      <c r="A1" s="39" t="s">
        <v>113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107</v>
      </c>
      <c r="B2" s="35"/>
      <c r="C2" s="35"/>
      <c r="D2" s="35"/>
      <c r="E2" s="35"/>
      <c r="F2" s="35"/>
      <c r="G2" s="35"/>
      <c r="H2" s="35"/>
    </row>
    <row r="4" spans="1:8" ht="22.05" customHeight="1" x14ac:dyDescent="0.3">
      <c r="A4" s="41" t="s">
        <v>30</v>
      </c>
      <c r="B4" s="35"/>
      <c r="C4" s="35"/>
      <c r="D4" s="35"/>
      <c r="E4" s="35"/>
    </row>
    <row r="5" spans="1:8" ht="18" customHeight="1" x14ac:dyDescent="0.3">
      <c r="A5" s="22" t="s">
        <v>108</v>
      </c>
      <c r="B5" s="22" t="s">
        <v>109</v>
      </c>
      <c r="C5" s="22" t="s">
        <v>110</v>
      </c>
      <c r="D5" s="22" t="s">
        <v>111</v>
      </c>
      <c r="E5" s="22" t="s">
        <v>112</v>
      </c>
    </row>
    <row r="6" spans="1:8" x14ac:dyDescent="0.3">
      <c r="A6" s="23">
        <v>1.211204098926481</v>
      </c>
      <c r="B6" s="23">
        <v>0</v>
      </c>
      <c r="C6" s="20">
        <v>97.523484201537144</v>
      </c>
      <c r="D6" s="20">
        <v>97.523484201537144</v>
      </c>
      <c r="E6" s="18">
        <v>0</v>
      </c>
    </row>
    <row r="7" spans="1:8" x14ac:dyDescent="0.3">
      <c r="A7" s="23">
        <v>1.0731873415301569</v>
      </c>
      <c r="B7" s="23">
        <v>0</v>
      </c>
      <c r="C7" s="20">
        <v>99.402220324508974</v>
      </c>
      <c r="D7" s="20">
        <v>99.402220324508974</v>
      </c>
      <c r="E7" s="18">
        <v>0</v>
      </c>
    </row>
    <row r="8" spans="1:8" x14ac:dyDescent="0.3">
      <c r="A8" s="23">
        <v>1</v>
      </c>
      <c r="B8" s="23">
        <v>0</v>
      </c>
      <c r="C8" s="20">
        <v>99.914602903501276</v>
      </c>
      <c r="D8" s="20">
        <v>99.914602903501276</v>
      </c>
      <c r="E8" s="18">
        <v>0</v>
      </c>
    </row>
    <row r="9" spans="1:8" x14ac:dyDescent="0.3">
      <c r="A9" s="23">
        <v>0.95089759937352658</v>
      </c>
      <c r="B9" s="23">
        <v>0</v>
      </c>
      <c r="C9" s="20">
        <v>99.914602903501276</v>
      </c>
      <c r="D9" s="20">
        <v>99.914602903501276</v>
      </c>
      <c r="E9" s="18">
        <v>0</v>
      </c>
    </row>
    <row r="10" spans="1:8" x14ac:dyDescent="0.3">
      <c r="A10" s="23">
        <v>17.411761240340809</v>
      </c>
      <c r="B10" s="23">
        <v>0</v>
      </c>
      <c r="C10" s="20">
        <v>99.914602903501276</v>
      </c>
      <c r="D10" s="20">
        <v>0</v>
      </c>
      <c r="E10" s="18">
        <v>0</v>
      </c>
    </row>
    <row r="11" spans="1:8" x14ac:dyDescent="0.3">
      <c r="A11" s="23">
        <v>1.7411761240340811</v>
      </c>
      <c r="B11" s="23">
        <v>0</v>
      </c>
      <c r="C11" s="20">
        <v>99.914602903501276</v>
      </c>
      <c r="D11" s="20">
        <v>18.18958155422715</v>
      </c>
      <c r="E11" s="18">
        <v>0</v>
      </c>
    </row>
    <row r="12" spans="1:8" x14ac:dyDescent="0.3">
      <c r="A12" s="23">
        <v>1.542769032357231</v>
      </c>
      <c r="B12" s="23">
        <v>0</v>
      </c>
      <c r="C12" s="20">
        <v>99.914602903501276</v>
      </c>
      <c r="D12" s="20">
        <v>52.092228864218612</v>
      </c>
      <c r="E12" s="18">
        <v>0</v>
      </c>
    </row>
    <row r="13" spans="1:8" x14ac:dyDescent="0.3">
      <c r="A13" s="23">
        <v>1.3669704370204641</v>
      </c>
      <c r="B13" s="23">
        <v>0</v>
      </c>
      <c r="C13" s="20">
        <v>99.914602903501276</v>
      </c>
      <c r="D13" s="20">
        <v>84.286934244235695</v>
      </c>
      <c r="E13" s="18">
        <v>0</v>
      </c>
    </row>
    <row r="14" spans="1:8" x14ac:dyDescent="0.3">
      <c r="A14" s="23">
        <v>0.84254277841659286</v>
      </c>
      <c r="B14" s="23">
        <v>0</v>
      </c>
      <c r="C14" s="20">
        <v>100</v>
      </c>
      <c r="D14" s="20">
        <v>100</v>
      </c>
      <c r="E14" s="18">
        <v>0</v>
      </c>
    </row>
    <row r="15" spans="1:8" x14ac:dyDescent="0.3">
      <c r="A15" s="23">
        <v>0.74653499380967669</v>
      </c>
      <c r="B15" s="23">
        <v>0</v>
      </c>
      <c r="C15" s="20">
        <v>100</v>
      </c>
      <c r="D15" s="20">
        <v>100</v>
      </c>
      <c r="E15" s="18">
        <v>0</v>
      </c>
    </row>
    <row r="16" spans="1:8" x14ac:dyDescent="0.3">
      <c r="A16" s="23">
        <v>0.66146730024769318</v>
      </c>
      <c r="B16" s="23">
        <v>0</v>
      </c>
      <c r="C16" s="20">
        <v>100</v>
      </c>
      <c r="D16" s="20">
        <v>100</v>
      </c>
      <c r="E16" s="18">
        <v>0</v>
      </c>
    </row>
    <row r="17" spans="1:5" x14ac:dyDescent="0.3">
      <c r="A17" s="23">
        <v>0.58609307390152832</v>
      </c>
      <c r="B17" s="23">
        <v>0</v>
      </c>
      <c r="C17" s="20">
        <v>100</v>
      </c>
      <c r="D17" s="20">
        <v>100</v>
      </c>
      <c r="E17" s="18">
        <v>0</v>
      </c>
    </row>
    <row r="18" spans="1:5" x14ac:dyDescent="0.3">
      <c r="A18" s="23">
        <v>0.5193077437791912</v>
      </c>
      <c r="B18" s="23">
        <v>8.5034013605442174E-4</v>
      </c>
      <c r="C18" s="20">
        <v>100</v>
      </c>
      <c r="D18" s="20">
        <v>100</v>
      </c>
      <c r="E18" s="18">
        <v>1</v>
      </c>
    </row>
    <row r="19" spans="1:5" x14ac:dyDescent="0.3">
      <c r="A19" s="23">
        <v>0.46013260479912099</v>
      </c>
      <c r="B19" s="23">
        <v>4.2517006802721092E-3</v>
      </c>
      <c r="C19" s="20">
        <v>100</v>
      </c>
      <c r="D19" s="20">
        <v>100</v>
      </c>
      <c r="E19" s="18">
        <v>5</v>
      </c>
    </row>
    <row r="20" spans="1:5" x14ac:dyDescent="0.3">
      <c r="A20" s="23">
        <v>0.4077004753644653</v>
      </c>
      <c r="B20" s="23">
        <v>1.360544217687075E-2</v>
      </c>
      <c r="C20" s="20">
        <v>100</v>
      </c>
      <c r="D20" s="20">
        <v>100</v>
      </c>
      <c r="E20" s="18">
        <v>16</v>
      </c>
    </row>
    <row r="21" spans="1:5" x14ac:dyDescent="0.3">
      <c r="A21" s="23">
        <v>0.3612429892573622</v>
      </c>
      <c r="B21" s="23">
        <v>3.486394557823129E-2</v>
      </c>
      <c r="C21" s="20">
        <v>100</v>
      </c>
      <c r="D21" s="20">
        <v>100</v>
      </c>
      <c r="E21" s="18">
        <v>41</v>
      </c>
    </row>
    <row r="22" spans="1:5" x14ac:dyDescent="0.3">
      <c r="A22" s="23">
        <v>0.32007933562239999</v>
      </c>
      <c r="B22" s="23">
        <v>0.13860544217687079</v>
      </c>
      <c r="C22" s="20">
        <v>100</v>
      </c>
      <c r="D22" s="20">
        <v>100</v>
      </c>
      <c r="E22" s="18">
        <v>163</v>
      </c>
    </row>
    <row r="23" spans="1:5" x14ac:dyDescent="0.3">
      <c r="A23" s="23">
        <v>9.5464023034787238E-3</v>
      </c>
      <c r="B23" s="23">
        <v>1.0374149659863949</v>
      </c>
      <c r="C23" s="20">
        <v>100</v>
      </c>
      <c r="D23" s="20">
        <v>100</v>
      </c>
      <c r="E23" s="18">
        <v>1220</v>
      </c>
    </row>
    <row r="24" spans="1:5" x14ac:dyDescent="0.3">
      <c r="A24" s="23">
        <v>9.546402303478721E-2</v>
      </c>
      <c r="B24" s="23">
        <v>1.1011904761904761</v>
      </c>
      <c r="C24" s="20">
        <v>100</v>
      </c>
      <c r="D24" s="20">
        <v>100</v>
      </c>
      <c r="E24" s="18">
        <v>1295</v>
      </c>
    </row>
    <row r="25" spans="1:5" x14ac:dyDescent="0.3">
      <c r="A25" s="23">
        <v>0.28360628202942761</v>
      </c>
      <c r="B25" s="23">
        <v>1.1972789115646261</v>
      </c>
      <c r="C25" s="20">
        <v>100</v>
      </c>
      <c r="D25" s="20">
        <v>100</v>
      </c>
      <c r="E25" s="18">
        <v>1408</v>
      </c>
    </row>
    <row r="26" spans="1:5" x14ac:dyDescent="0.3">
      <c r="A26" s="23">
        <v>0.10774112918149539</v>
      </c>
      <c r="B26" s="23">
        <v>2.2534013605442178</v>
      </c>
      <c r="C26" s="20">
        <v>100</v>
      </c>
      <c r="D26" s="20">
        <v>100</v>
      </c>
      <c r="E26" s="18">
        <v>2650</v>
      </c>
    </row>
    <row r="27" spans="1:5" x14ac:dyDescent="0.3">
      <c r="A27" s="23">
        <v>0.25128933440877332</v>
      </c>
      <c r="B27" s="23">
        <v>9.6573129251700678</v>
      </c>
      <c r="C27" s="20">
        <v>100</v>
      </c>
      <c r="D27" s="20">
        <v>100</v>
      </c>
      <c r="E27" s="18">
        <v>11357</v>
      </c>
    </row>
    <row r="28" spans="1:5" x14ac:dyDescent="0.3">
      <c r="A28" s="23">
        <v>0.12159712683671051</v>
      </c>
      <c r="B28" s="23">
        <v>13.068027210884351</v>
      </c>
      <c r="C28" s="20">
        <v>100</v>
      </c>
      <c r="D28" s="20">
        <v>100</v>
      </c>
      <c r="E28" s="18">
        <v>15368</v>
      </c>
    </row>
    <row r="29" spans="1:5" x14ac:dyDescent="0.3">
      <c r="A29" s="23">
        <v>0.22265490431221149</v>
      </c>
      <c r="B29" s="23">
        <v>48.988945578231302</v>
      </c>
      <c r="C29" s="20">
        <v>100</v>
      </c>
      <c r="D29" s="20">
        <v>100</v>
      </c>
      <c r="E29" s="18">
        <v>57611</v>
      </c>
    </row>
    <row r="30" spans="1:5" x14ac:dyDescent="0.3">
      <c r="A30" s="23">
        <v>0.137235068606303</v>
      </c>
      <c r="B30" s="23">
        <v>59.309523809523803</v>
      </c>
      <c r="C30" s="20">
        <v>100</v>
      </c>
      <c r="D30" s="20">
        <v>100</v>
      </c>
      <c r="E30" s="18">
        <v>69748</v>
      </c>
    </row>
    <row r="31" spans="1:5" x14ac:dyDescent="0.3">
      <c r="A31" s="23">
        <v>0.19728336871486921</v>
      </c>
      <c r="B31" s="23">
        <v>132.66496598639449</v>
      </c>
      <c r="C31" s="20">
        <v>100</v>
      </c>
      <c r="D31" s="20">
        <v>100</v>
      </c>
      <c r="E31" s="18">
        <v>156014</v>
      </c>
    </row>
    <row r="32" spans="1:5" x14ac:dyDescent="0.3">
      <c r="A32" s="23">
        <v>0.15488412058179329</v>
      </c>
      <c r="B32" s="23">
        <v>146.43112244897961</v>
      </c>
      <c r="C32" s="20">
        <v>100</v>
      </c>
      <c r="D32" s="20">
        <v>100</v>
      </c>
      <c r="E32" s="18">
        <v>172203</v>
      </c>
    </row>
    <row r="33" spans="1:5" x14ac:dyDescent="0.3">
      <c r="A33" s="23">
        <v>0.17480292065299191</v>
      </c>
      <c r="B33" s="23">
        <v>191.77806122448979</v>
      </c>
      <c r="C33" s="20">
        <v>100</v>
      </c>
      <c r="D33" s="20">
        <v>100</v>
      </c>
      <c r="E33" s="18">
        <v>225531</v>
      </c>
    </row>
    <row r="35" spans="1:5" ht="22.05" customHeight="1" x14ac:dyDescent="0.3">
      <c r="A35" s="41" t="s">
        <v>32</v>
      </c>
      <c r="B35" s="35"/>
      <c r="C35" s="35"/>
      <c r="D35" s="35"/>
      <c r="E35" s="35"/>
    </row>
    <row r="36" spans="1:5" ht="18" customHeight="1" x14ac:dyDescent="0.3">
      <c r="A36" s="22" t="s">
        <v>108</v>
      </c>
      <c r="B36" s="22" t="s">
        <v>109</v>
      </c>
      <c r="C36" s="22" t="s">
        <v>110</v>
      </c>
      <c r="D36" s="22" t="s">
        <v>111</v>
      </c>
      <c r="E36" s="22" t="s">
        <v>112</v>
      </c>
    </row>
    <row r="37" spans="1:5" x14ac:dyDescent="0.3">
      <c r="A37" s="23">
        <v>18.203278737730241</v>
      </c>
      <c r="B37" s="23">
        <v>0</v>
      </c>
      <c r="C37" s="20">
        <v>32.792485055508124</v>
      </c>
      <c r="D37" s="20">
        <v>32.792485055508124</v>
      </c>
      <c r="E37" s="18">
        <v>0</v>
      </c>
    </row>
    <row r="38" spans="1:5" x14ac:dyDescent="0.3">
      <c r="A38" s="23">
        <v>21.100793166783809</v>
      </c>
      <c r="B38" s="23">
        <v>0</v>
      </c>
      <c r="C38" s="20">
        <v>32.792485055508124</v>
      </c>
      <c r="D38" s="20">
        <v>23.911187019641329</v>
      </c>
      <c r="E38" s="18">
        <v>0</v>
      </c>
    </row>
    <row r="39" spans="1:5" x14ac:dyDescent="0.3">
      <c r="A39" s="23">
        <v>24.459520654623979</v>
      </c>
      <c r="B39" s="23">
        <v>0</v>
      </c>
      <c r="C39" s="20">
        <v>32.792485055508124</v>
      </c>
      <c r="D39" s="20">
        <v>12.72416737830914</v>
      </c>
      <c r="E39" s="18">
        <v>0</v>
      </c>
    </row>
    <row r="40" spans="1:5" x14ac:dyDescent="0.3">
      <c r="A40" s="23">
        <v>244.59520654623981</v>
      </c>
      <c r="B40" s="23">
        <v>0</v>
      </c>
      <c r="C40" s="20">
        <v>32.792485055508124</v>
      </c>
      <c r="D40" s="20">
        <v>0</v>
      </c>
      <c r="E40" s="18">
        <v>0</v>
      </c>
    </row>
    <row r="41" spans="1:5" x14ac:dyDescent="0.3">
      <c r="A41" s="23">
        <v>15.703644606360919</v>
      </c>
      <c r="B41" s="23">
        <v>0</v>
      </c>
      <c r="C41" s="20">
        <v>40.990606319385137</v>
      </c>
      <c r="D41" s="20">
        <v>40.990606319385137</v>
      </c>
      <c r="E41" s="18">
        <v>0</v>
      </c>
    </row>
    <row r="42" spans="1:5" x14ac:dyDescent="0.3">
      <c r="A42" s="23">
        <v>13.547254726795311</v>
      </c>
      <c r="B42" s="23">
        <v>1.700680272108843E-3</v>
      </c>
      <c r="C42" s="20">
        <v>49.444918872758322</v>
      </c>
      <c r="D42" s="20">
        <v>49.444918872758322</v>
      </c>
      <c r="E42" s="18">
        <v>2</v>
      </c>
    </row>
    <row r="43" spans="1:5" x14ac:dyDescent="0.3">
      <c r="A43" s="23">
        <v>11.686975554600741</v>
      </c>
      <c r="B43" s="23">
        <v>1.275510204081633E-2</v>
      </c>
      <c r="C43" s="20">
        <v>56.020495303159692</v>
      </c>
      <c r="D43" s="20">
        <v>56.020495303159692</v>
      </c>
      <c r="E43" s="18">
        <v>15</v>
      </c>
    </row>
    <row r="44" spans="1:5" x14ac:dyDescent="0.3">
      <c r="A44" s="23">
        <v>10.08214581982288</v>
      </c>
      <c r="B44" s="23">
        <v>6.5476190476190479E-2</v>
      </c>
      <c r="C44" s="20">
        <v>63.193851409052087</v>
      </c>
      <c r="D44" s="20">
        <v>63.193851409052087</v>
      </c>
      <c r="E44" s="18">
        <v>77</v>
      </c>
    </row>
    <row r="45" spans="1:5" x14ac:dyDescent="0.3">
      <c r="A45" s="23">
        <v>8.6976877685139264</v>
      </c>
      <c r="B45" s="23">
        <v>0.31547619047619052</v>
      </c>
      <c r="C45" s="20">
        <v>71.050384286934246</v>
      </c>
      <c r="D45" s="20">
        <v>71.050384286934246</v>
      </c>
      <c r="E45" s="18">
        <v>371</v>
      </c>
    </row>
    <row r="46" spans="1:5" x14ac:dyDescent="0.3">
      <c r="A46" s="23">
        <v>7.0610302589243348E-2</v>
      </c>
      <c r="B46" s="23">
        <v>1.0348639455782309</v>
      </c>
      <c r="C46" s="20">
        <v>99.743808710503842</v>
      </c>
      <c r="D46" s="20">
        <v>99.743808710503842</v>
      </c>
      <c r="E46" s="18">
        <v>1217</v>
      </c>
    </row>
    <row r="47" spans="1:5" x14ac:dyDescent="0.3">
      <c r="A47" s="23">
        <v>0.70610302589243346</v>
      </c>
      <c r="B47" s="23">
        <v>1.0408163265306121</v>
      </c>
      <c r="C47" s="20">
        <v>99.743808710503842</v>
      </c>
      <c r="D47" s="20">
        <v>99.743808710503842</v>
      </c>
      <c r="E47" s="18">
        <v>1224</v>
      </c>
    </row>
    <row r="48" spans="1:5" x14ac:dyDescent="0.3">
      <c r="A48" s="23">
        <v>7.5033404466159279</v>
      </c>
      <c r="B48" s="23">
        <v>1.2653061224489801</v>
      </c>
      <c r="C48" s="20">
        <v>99.743808710503842</v>
      </c>
      <c r="D48" s="20">
        <v>81.639624252775405</v>
      </c>
      <c r="E48" s="18">
        <v>1488</v>
      </c>
    </row>
    <row r="49" spans="1:5" x14ac:dyDescent="0.3">
      <c r="A49" s="23">
        <v>0.81849726735845285</v>
      </c>
      <c r="B49" s="23">
        <v>1.7049319727891159</v>
      </c>
      <c r="C49" s="20">
        <v>99.743808710503842</v>
      </c>
      <c r="D49" s="20">
        <v>99.743808710503842</v>
      </c>
      <c r="E49" s="18">
        <v>2005</v>
      </c>
    </row>
    <row r="50" spans="1:5" x14ac:dyDescent="0.3">
      <c r="A50" s="23">
        <v>6.4729982676122058</v>
      </c>
      <c r="B50" s="23">
        <v>4.2159863945578238</v>
      </c>
      <c r="C50" s="20">
        <v>99.743808710503842</v>
      </c>
      <c r="D50" s="20">
        <v>95.47395388556788</v>
      </c>
      <c r="E50" s="18">
        <v>4958</v>
      </c>
    </row>
    <row r="51" spans="1:5" x14ac:dyDescent="0.3">
      <c r="A51" s="23">
        <v>0.94878190873991775</v>
      </c>
      <c r="B51" s="23">
        <v>12.48299319727891</v>
      </c>
      <c r="C51" s="20">
        <v>99.743808710503842</v>
      </c>
      <c r="D51" s="20">
        <v>99.743808710503842</v>
      </c>
      <c r="E51" s="18">
        <v>14680</v>
      </c>
    </row>
    <row r="52" spans="1:5" x14ac:dyDescent="0.3">
      <c r="A52" s="23">
        <v>5.5841404066115317</v>
      </c>
      <c r="B52" s="23">
        <v>14.81547619047619</v>
      </c>
      <c r="C52" s="20">
        <v>99.743808710503842</v>
      </c>
      <c r="D52" s="20">
        <v>99.573014517506408</v>
      </c>
      <c r="E52" s="18">
        <v>17423</v>
      </c>
    </row>
    <row r="53" spans="1:5" x14ac:dyDescent="0.3">
      <c r="A53" s="23">
        <v>1</v>
      </c>
      <c r="B53" s="23">
        <v>23.124149659863949</v>
      </c>
      <c r="C53" s="20">
        <v>99.743808710503842</v>
      </c>
      <c r="D53" s="20">
        <v>99.743808710503842</v>
      </c>
      <c r="E53" s="18">
        <v>27194</v>
      </c>
    </row>
    <row r="54" spans="1:5" x14ac:dyDescent="0.3">
      <c r="A54" s="23">
        <v>2.6681517331039641</v>
      </c>
      <c r="B54" s="23">
        <v>41.146258503401363</v>
      </c>
      <c r="C54" s="20">
        <v>99.743808710503842</v>
      </c>
      <c r="D54" s="20">
        <v>99.743808710503842</v>
      </c>
      <c r="E54" s="18">
        <v>48388</v>
      </c>
    </row>
    <row r="55" spans="1:5" x14ac:dyDescent="0.3">
      <c r="A55" s="23">
        <v>4.8173385487795626</v>
      </c>
      <c r="B55" s="23">
        <v>41.34013605442177</v>
      </c>
      <c r="C55" s="20">
        <v>99.743808710503842</v>
      </c>
      <c r="D55" s="20">
        <v>99.658411614005132</v>
      </c>
      <c r="E55" s="18">
        <v>48616</v>
      </c>
    </row>
    <row r="56" spans="1:5" x14ac:dyDescent="0.3">
      <c r="A56" s="23">
        <v>2.301767015502783</v>
      </c>
      <c r="B56" s="23">
        <v>41.535714285714278</v>
      </c>
      <c r="C56" s="20">
        <v>99.743808710503842</v>
      </c>
      <c r="D56" s="20">
        <v>99.743808710503842</v>
      </c>
      <c r="E56" s="18">
        <v>48846</v>
      </c>
    </row>
    <row r="57" spans="1:5" x14ac:dyDescent="0.3">
      <c r="A57" s="23">
        <v>1.9856934401152171</v>
      </c>
      <c r="B57" s="23">
        <v>45.030612244897959</v>
      </c>
      <c r="C57" s="20">
        <v>99.743808710503842</v>
      </c>
      <c r="D57" s="20">
        <v>99.743808710503842</v>
      </c>
      <c r="E57" s="18">
        <v>52956</v>
      </c>
    </row>
    <row r="58" spans="1:5" x14ac:dyDescent="0.3">
      <c r="A58" s="23">
        <v>3.0928558898089218</v>
      </c>
      <c r="B58" s="23">
        <v>45.550170068027207</v>
      </c>
      <c r="C58" s="20">
        <v>99.743808710503842</v>
      </c>
      <c r="D58" s="20">
        <v>99.743808710503842</v>
      </c>
      <c r="E58" s="18">
        <v>53567</v>
      </c>
    </row>
    <row r="59" spans="1:5" x14ac:dyDescent="0.3">
      <c r="A59" s="23">
        <v>1.0998046618498161</v>
      </c>
      <c r="B59" s="23">
        <v>48.761904761904773</v>
      </c>
      <c r="C59" s="20">
        <v>99.743808710503842</v>
      </c>
      <c r="D59" s="20">
        <v>99.743808710503842</v>
      </c>
      <c r="E59" s="18">
        <v>57344</v>
      </c>
    </row>
    <row r="60" spans="1:5" x14ac:dyDescent="0.3">
      <c r="A60" s="23">
        <v>1.713022391736432</v>
      </c>
      <c r="B60" s="23">
        <v>50.289965986394563</v>
      </c>
      <c r="C60" s="20">
        <v>99.743808710503842</v>
      </c>
      <c r="D60" s="20">
        <v>99.743808710503842</v>
      </c>
      <c r="E60" s="18">
        <v>59141</v>
      </c>
    </row>
    <row r="61" spans="1:5" x14ac:dyDescent="0.3">
      <c r="A61" s="23">
        <v>3.5851625064806649</v>
      </c>
      <c r="B61" s="23">
        <v>57.586734693877553</v>
      </c>
      <c r="C61" s="20">
        <v>99.743808710503842</v>
      </c>
      <c r="D61" s="20">
        <v>99.743808710503842</v>
      </c>
      <c r="E61" s="18">
        <v>67722</v>
      </c>
    </row>
    <row r="62" spans="1:5" x14ac:dyDescent="0.3">
      <c r="A62" s="23">
        <v>1.477793930980674</v>
      </c>
      <c r="B62" s="23">
        <v>59.471088435374163</v>
      </c>
      <c r="C62" s="20">
        <v>99.743808710503842</v>
      </c>
      <c r="D62" s="20">
        <v>99.743808710503842</v>
      </c>
      <c r="E62" s="18">
        <v>69938</v>
      </c>
    </row>
    <row r="63" spans="1:5" x14ac:dyDescent="0.3">
      <c r="A63" s="23">
        <v>4.1558322326711492</v>
      </c>
      <c r="B63" s="23">
        <v>63.528061224489797</v>
      </c>
      <c r="C63" s="20">
        <v>99.743808710503842</v>
      </c>
      <c r="D63" s="20">
        <v>99.743808710503842</v>
      </c>
      <c r="E63" s="18">
        <v>74709</v>
      </c>
    </row>
    <row r="64" spans="1:5" x14ac:dyDescent="0.3">
      <c r="A64" s="23">
        <v>1.274866524207892</v>
      </c>
      <c r="B64" s="23">
        <v>69.095238095238088</v>
      </c>
      <c r="C64" s="20">
        <v>99.743808710503842</v>
      </c>
      <c r="D64" s="20">
        <v>99.743808710503842</v>
      </c>
      <c r="E64" s="18">
        <v>81256</v>
      </c>
    </row>
    <row r="66" spans="1:5" ht="22.05" customHeight="1" x14ac:dyDescent="0.3">
      <c r="A66" s="41" t="s">
        <v>34</v>
      </c>
      <c r="B66" s="35"/>
      <c r="C66" s="35"/>
      <c r="D66" s="35"/>
      <c r="E66" s="35"/>
    </row>
    <row r="67" spans="1:5" ht="18" customHeight="1" x14ac:dyDescent="0.3">
      <c r="A67" s="22" t="s">
        <v>108</v>
      </c>
      <c r="B67" s="22" t="s">
        <v>109</v>
      </c>
      <c r="C67" s="22" t="s">
        <v>110</v>
      </c>
      <c r="D67" s="22" t="s">
        <v>111</v>
      </c>
      <c r="E67" s="22" t="s">
        <v>112</v>
      </c>
    </row>
    <row r="68" spans="1:5" x14ac:dyDescent="0.3">
      <c r="A68" s="23">
        <v>50.480303463707791</v>
      </c>
      <c r="B68" s="23">
        <v>0</v>
      </c>
      <c r="C68" s="20">
        <v>0</v>
      </c>
      <c r="D68" s="20">
        <v>0</v>
      </c>
      <c r="E68" s="18">
        <v>0</v>
      </c>
    </row>
    <row r="69" spans="1:5" x14ac:dyDescent="0.3">
      <c r="A69" s="23">
        <v>5.048030346370779</v>
      </c>
      <c r="B69" s="23">
        <v>0.23469387755102039</v>
      </c>
      <c r="C69" s="20">
        <v>4.6968403074295484</v>
      </c>
      <c r="D69" s="20">
        <v>4.6968403074295484</v>
      </c>
      <c r="E69" s="18">
        <v>276</v>
      </c>
    </row>
    <row r="70" spans="1:5" x14ac:dyDescent="0.3">
      <c r="A70" s="23">
        <v>4.6155159776903671</v>
      </c>
      <c r="B70" s="23">
        <v>0.51530612244897955</v>
      </c>
      <c r="C70" s="20">
        <v>6.7463706233988052</v>
      </c>
      <c r="D70" s="20">
        <v>6.7463706233988052</v>
      </c>
      <c r="E70" s="18">
        <v>606</v>
      </c>
    </row>
    <row r="71" spans="1:5" x14ac:dyDescent="0.3">
      <c r="A71" s="23">
        <v>5.8814065088106771E-2</v>
      </c>
      <c r="B71" s="23">
        <v>1.0374149659863949</v>
      </c>
      <c r="C71" s="20">
        <v>100</v>
      </c>
      <c r="D71" s="20">
        <v>100</v>
      </c>
      <c r="E71" s="18">
        <v>1220</v>
      </c>
    </row>
    <row r="72" spans="1:5" x14ac:dyDescent="0.3">
      <c r="A72" s="23">
        <v>0.64325459340465196</v>
      </c>
      <c r="B72" s="23">
        <v>1.0374149659863949</v>
      </c>
      <c r="C72" s="20">
        <v>100</v>
      </c>
      <c r="D72" s="20">
        <v>100</v>
      </c>
      <c r="E72" s="18">
        <v>1220</v>
      </c>
    </row>
    <row r="73" spans="1:5" x14ac:dyDescent="0.3">
      <c r="A73" s="23">
        <v>0.58814065088106771</v>
      </c>
      <c r="B73" s="23">
        <v>1.0374149659863949</v>
      </c>
      <c r="C73" s="20">
        <v>100</v>
      </c>
      <c r="D73" s="20">
        <v>100</v>
      </c>
      <c r="E73" s="18">
        <v>1220</v>
      </c>
    </row>
    <row r="74" spans="1:5" x14ac:dyDescent="0.3">
      <c r="A74" s="23">
        <v>0.70353319621135468</v>
      </c>
      <c r="B74" s="23">
        <v>1.0450680272108841</v>
      </c>
      <c r="C74" s="20">
        <v>100</v>
      </c>
      <c r="D74" s="20">
        <v>100</v>
      </c>
      <c r="E74" s="18">
        <v>1229</v>
      </c>
    </row>
    <row r="75" spans="1:5" x14ac:dyDescent="0.3">
      <c r="A75" s="23">
        <v>4.2200593654573799</v>
      </c>
      <c r="B75" s="23">
        <v>1.0493197278911559</v>
      </c>
      <c r="C75" s="20">
        <v>100</v>
      </c>
      <c r="D75" s="20">
        <v>9.9060631938514092</v>
      </c>
      <c r="E75" s="18">
        <v>1234</v>
      </c>
    </row>
    <row r="76" spans="1:5" x14ac:dyDescent="0.3">
      <c r="A76" s="23">
        <v>0.76946043331244551</v>
      </c>
      <c r="B76" s="23">
        <v>1.203231292517007</v>
      </c>
      <c r="C76" s="20">
        <v>100</v>
      </c>
      <c r="D76" s="20">
        <v>100</v>
      </c>
      <c r="E76" s="18">
        <v>1415</v>
      </c>
    </row>
    <row r="77" spans="1:5" x14ac:dyDescent="0.3">
      <c r="A77" s="23">
        <v>3.858485407496353</v>
      </c>
      <c r="B77" s="23">
        <v>2.139455782312925</v>
      </c>
      <c r="C77" s="20">
        <v>100</v>
      </c>
      <c r="D77" s="20">
        <v>13.919726729291201</v>
      </c>
      <c r="E77" s="18">
        <v>2516</v>
      </c>
    </row>
    <row r="78" spans="1:5" x14ac:dyDescent="0.3">
      <c r="A78" s="23">
        <v>0.84156563133306317</v>
      </c>
      <c r="B78" s="23">
        <v>3.0008503401360538</v>
      </c>
      <c r="C78" s="20">
        <v>100</v>
      </c>
      <c r="D78" s="20">
        <v>100</v>
      </c>
      <c r="E78" s="18">
        <v>3529</v>
      </c>
    </row>
    <row r="79" spans="1:5" x14ac:dyDescent="0.3">
      <c r="A79" s="23">
        <v>3.527891043838125</v>
      </c>
      <c r="B79" s="23">
        <v>4.1955782312925169</v>
      </c>
      <c r="C79" s="20">
        <v>100</v>
      </c>
      <c r="D79" s="20">
        <v>19.299743808710499</v>
      </c>
      <c r="E79" s="18">
        <v>4934</v>
      </c>
    </row>
    <row r="80" spans="1:5" x14ac:dyDescent="0.3">
      <c r="A80" s="23">
        <v>3.2256219481905668</v>
      </c>
      <c r="B80" s="23">
        <v>8.0654761904761898</v>
      </c>
      <c r="C80" s="20">
        <v>100</v>
      </c>
      <c r="D80" s="20">
        <v>26.046114432109309</v>
      </c>
      <c r="E80" s="18">
        <v>9485</v>
      </c>
    </row>
    <row r="81" spans="1:5" x14ac:dyDescent="0.3">
      <c r="A81" s="23">
        <v>0.92042771945030422</v>
      </c>
      <c r="B81" s="23">
        <v>13.1530612244898</v>
      </c>
      <c r="C81" s="20">
        <v>100</v>
      </c>
      <c r="D81" s="20">
        <v>100</v>
      </c>
      <c r="E81" s="18">
        <v>15468</v>
      </c>
    </row>
    <row r="82" spans="1:5" x14ac:dyDescent="0.3">
      <c r="A82" s="23">
        <v>2.9492512164800631</v>
      </c>
      <c r="B82" s="23">
        <v>14.90136054421769</v>
      </c>
      <c r="C82" s="20">
        <v>100</v>
      </c>
      <c r="D82" s="20">
        <v>35.695986336464557</v>
      </c>
      <c r="E82" s="18">
        <v>17524</v>
      </c>
    </row>
    <row r="83" spans="1:5" x14ac:dyDescent="0.3">
      <c r="A83" s="23">
        <v>2.6965598813550899</v>
      </c>
      <c r="B83" s="23">
        <v>26.633503401360549</v>
      </c>
      <c r="C83" s="20">
        <v>100</v>
      </c>
      <c r="D83" s="20">
        <v>45.175064047822367</v>
      </c>
      <c r="E83" s="18">
        <v>31321</v>
      </c>
    </row>
    <row r="84" spans="1:5" x14ac:dyDescent="0.3">
      <c r="A84" s="23">
        <v>1</v>
      </c>
      <c r="B84" s="23">
        <v>42.639455782312929</v>
      </c>
      <c r="C84" s="20">
        <v>100</v>
      </c>
      <c r="D84" s="20">
        <v>100</v>
      </c>
      <c r="E84" s="18">
        <v>50144</v>
      </c>
    </row>
    <row r="85" spans="1:5" x14ac:dyDescent="0.3">
      <c r="A85" s="23">
        <v>2.465519096203765</v>
      </c>
      <c r="B85" s="23">
        <v>45.663265306122447</v>
      </c>
      <c r="C85" s="20">
        <v>100</v>
      </c>
      <c r="D85" s="20">
        <v>54.654141759180177</v>
      </c>
      <c r="E85" s="18">
        <v>53700</v>
      </c>
    </row>
    <row r="86" spans="1:5" x14ac:dyDescent="0.3">
      <c r="A86" s="23">
        <v>1.0066798775878241</v>
      </c>
      <c r="B86" s="23">
        <v>46.29081632653061</v>
      </c>
      <c r="C86" s="20">
        <v>100</v>
      </c>
      <c r="D86" s="20">
        <v>100</v>
      </c>
      <c r="E86" s="18">
        <v>54438</v>
      </c>
    </row>
    <row r="87" spans="1:5" x14ac:dyDescent="0.3">
      <c r="A87" s="23">
        <v>2.254273845641686</v>
      </c>
      <c r="B87" s="23">
        <v>74.55952380952381</v>
      </c>
      <c r="C87" s="20">
        <v>100</v>
      </c>
      <c r="D87" s="20">
        <v>67.292912040990601</v>
      </c>
      <c r="E87" s="18">
        <v>87682</v>
      </c>
    </row>
    <row r="88" spans="1:5" x14ac:dyDescent="0.3">
      <c r="A88" s="23">
        <v>1.1010146201870801</v>
      </c>
      <c r="B88" s="23">
        <v>113.109693877551</v>
      </c>
      <c r="C88" s="20">
        <v>100</v>
      </c>
      <c r="D88" s="20">
        <v>100</v>
      </c>
      <c r="E88" s="18">
        <v>133017</v>
      </c>
    </row>
    <row r="89" spans="1:5" x14ac:dyDescent="0.3">
      <c r="A89" s="23">
        <v>2.0611280516823758</v>
      </c>
      <c r="B89" s="23">
        <v>115.67687074829929</v>
      </c>
      <c r="C89" s="20">
        <v>100</v>
      </c>
      <c r="D89" s="20">
        <v>76.857386848847142</v>
      </c>
      <c r="E89" s="18">
        <v>136036</v>
      </c>
    </row>
    <row r="90" spans="1:5" x14ac:dyDescent="0.3">
      <c r="A90" s="23">
        <v>1.884530956008456</v>
      </c>
      <c r="B90" s="23">
        <v>168.61054421768699</v>
      </c>
      <c r="C90" s="20">
        <v>100</v>
      </c>
      <c r="D90" s="20">
        <v>85.226302305721603</v>
      </c>
      <c r="E90" s="18">
        <v>198286</v>
      </c>
    </row>
    <row r="91" spans="1:5" x14ac:dyDescent="0.3">
      <c r="A91" s="23">
        <v>1.2041893563725701</v>
      </c>
      <c r="B91" s="23">
        <v>199.48129251700681</v>
      </c>
      <c r="C91" s="20">
        <v>100</v>
      </c>
      <c r="D91" s="20">
        <v>100</v>
      </c>
      <c r="E91" s="18">
        <v>234590</v>
      </c>
    </row>
    <row r="92" spans="1:5" x14ac:dyDescent="0.3">
      <c r="A92" s="23">
        <v>1.72306466900749</v>
      </c>
      <c r="B92" s="23">
        <v>227.10374149659859</v>
      </c>
      <c r="C92" s="20">
        <v>100</v>
      </c>
      <c r="D92" s="20">
        <v>92.228864218616565</v>
      </c>
      <c r="E92" s="18">
        <v>267074</v>
      </c>
    </row>
    <row r="93" spans="1:5" x14ac:dyDescent="0.3">
      <c r="A93" s="23">
        <v>1.317032471153375</v>
      </c>
      <c r="B93" s="23">
        <v>269.73894557823132</v>
      </c>
      <c r="C93" s="20">
        <v>100</v>
      </c>
      <c r="D93" s="20">
        <v>99.743808710503842</v>
      </c>
      <c r="E93" s="18">
        <v>317213</v>
      </c>
    </row>
    <row r="94" spans="1:5" x14ac:dyDescent="0.3">
      <c r="A94" s="23">
        <v>1.575432785604276</v>
      </c>
      <c r="B94" s="23">
        <v>276.40561224489801</v>
      </c>
      <c r="C94" s="20">
        <v>100</v>
      </c>
      <c r="D94" s="20">
        <v>96.75491033304867</v>
      </c>
      <c r="E94" s="18">
        <v>325053</v>
      </c>
    </row>
    <row r="95" spans="1:5" x14ac:dyDescent="0.3">
      <c r="A95" s="23">
        <v>1.4404499764866689</v>
      </c>
      <c r="B95" s="23">
        <v>296.6496598639456</v>
      </c>
      <c r="C95" s="20">
        <v>100</v>
      </c>
      <c r="D95" s="20">
        <v>98.804440649017934</v>
      </c>
      <c r="E95" s="18">
        <v>348860</v>
      </c>
    </row>
    <row r="97" spans="1:5" ht="22.05" customHeight="1" x14ac:dyDescent="0.3">
      <c r="A97" s="41" t="s">
        <v>36</v>
      </c>
      <c r="B97" s="35"/>
      <c r="C97" s="35"/>
      <c r="D97" s="35"/>
      <c r="E97" s="35"/>
    </row>
    <row r="98" spans="1:5" ht="18" customHeight="1" x14ac:dyDescent="0.3">
      <c r="A98" s="22" t="s">
        <v>108</v>
      </c>
      <c r="B98" s="22" t="s">
        <v>109</v>
      </c>
      <c r="C98" s="22" t="s">
        <v>110</v>
      </c>
      <c r="D98" s="22" t="s">
        <v>111</v>
      </c>
      <c r="E98" s="22" t="s">
        <v>112</v>
      </c>
    </row>
    <row r="99" spans="1:5" x14ac:dyDescent="0.3">
      <c r="A99" s="23">
        <v>64.679738819476512</v>
      </c>
      <c r="B99" s="23">
        <v>0</v>
      </c>
      <c r="C99" s="20">
        <v>0</v>
      </c>
      <c r="D99" s="20">
        <v>0</v>
      </c>
      <c r="E99" s="18">
        <v>0</v>
      </c>
    </row>
    <row r="100" spans="1:5" x14ac:dyDescent="0.3">
      <c r="A100" s="23">
        <v>6.4679738819476498</v>
      </c>
      <c r="B100" s="23">
        <v>0.25</v>
      </c>
      <c r="C100" s="20">
        <v>3.1596925704526049</v>
      </c>
      <c r="D100" s="20">
        <v>3.1596925704526049</v>
      </c>
      <c r="E100" s="18">
        <v>294</v>
      </c>
    </row>
    <row r="101" spans="1:5" x14ac:dyDescent="0.3">
      <c r="A101" s="23">
        <v>5.8269758230913711</v>
      </c>
      <c r="B101" s="23">
        <v>0.54251700680272108</v>
      </c>
      <c r="C101" s="20">
        <v>4.7822374039282662</v>
      </c>
      <c r="D101" s="20">
        <v>4.7822374039282662</v>
      </c>
      <c r="E101" s="18">
        <v>638</v>
      </c>
    </row>
    <row r="102" spans="1:5" x14ac:dyDescent="0.3">
      <c r="A102" s="23">
        <v>5.2840542081255298E-2</v>
      </c>
      <c r="B102" s="23">
        <v>1.0374149659863949</v>
      </c>
      <c r="C102" s="20">
        <v>100</v>
      </c>
      <c r="D102" s="20">
        <v>100</v>
      </c>
      <c r="E102" s="18">
        <v>1220</v>
      </c>
    </row>
    <row r="103" spans="1:5" x14ac:dyDescent="0.3">
      <c r="A103" s="23">
        <v>0.58653280271926</v>
      </c>
      <c r="B103" s="23">
        <v>1.0374149659863949</v>
      </c>
      <c r="C103" s="20">
        <v>100</v>
      </c>
      <c r="D103" s="20">
        <v>100</v>
      </c>
      <c r="E103" s="18">
        <v>1220</v>
      </c>
    </row>
    <row r="104" spans="1:5" x14ac:dyDescent="0.3">
      <c r="A104" s="23">
        <v>0.52840542081255293</v>
      </c>
      <c r="B104" s="23">
        <v>1.0374149659863949</v>
      </c>
      <c r="C104" s="20">
        <v>100</v>
      </c>
      <c r="D104" s="20">
        <v>100</v>
      </c>
      <c r="E104" s="18">
        <v>1220</v>
      </c>
    </row>
    <row r="105" spans="1:5" x14ac:dyDescent="0.3">
      <c r="A105" s="23">
        <v>0.65105450306829593</v>
      </c>
      <c r="B105" s="23">
        <v>1.0450680272108841</v>
      </c>
      <c r="C105" s="20">
        <v>100</v>
      </c>
      <c r="D105" s="20">
        <v>100</v>
      </c>
      <c r="E105" s="18">
        <v>1229</v>
      </c>
    </row>
    <row r="106" spans="1:5" x14ac:dyDescent="0.3">
      <c r="A106" s="23">
        <v>5.2495028369946324</v>
      </c>
      <c r="B106" s="23">
        <v>1.1088435374149661</v>
      </c>
      <c r="C106" s="20">
        <v>100</v>
      </c>
      <c r="D106" s="20">
        <v>6.0631938514090526</v>
      </c>
      <c r="E106" s="18">
        <v>1304</v>
      </c>
    </row>
    <row r="107" spans="1:5" x14ac:dyDescent="0.3">
      <c r="A107" s="23">
        <v>0.72267393059751706</v>
      </c>
      <c r="B107" s="23">
        <v>1.176020408163265</v>
      </c>
      <c r="C107" s="20">
        <v>100</v>
      </c>
      <c r="D107" s="20">
        <v>100</v>
      </c>
      <c r="E107" s="18">
        <v>1383</v>
      </c>
    </row>
    <row r="108" spans="1:5" x14ac:dyDescent="0.3">
      <c r="A108" s="23">
        <v>4.7292593743755713</v>
      </c>
      <c r="B108" s="23">
        <v>2.245748299319728</v>
      </c>
      <c r="C108" s="20">
        <v>100</v>
      </c>
      <c r="D108" s="20">
        <v>9.3082835183603763</v>
      </c>
      <c r="E108" s="18">
        <v>2641</v>
      </c>
    </row>
    <row r="109" spans="1:5" x14ac:dyDescent="0.3">
      <c r="A109" s="23">
        <v>0.80217187271413415</v>
      </c>
      <c r="B109" s="23">
        <v>2.3775510204081631</v>
      </c>
      <c r="C109" s="20">
        <v>100</v>
      </c>
      <c r="D109" s="20">
        <v>100</v>
      </c>
      <c r="E109" s="18">
        <v>2796</v>
      </c>
    </row>
    <row r="110" spans="1:5" x14ac:dyDescent="0.3">
      <c r="A110" s="23">
        <v>4.2605737961509176</v>
      </c>
      <c r="B110" s="23">
        <v>4.4795918367346941</v>
      </c>
      <c r="C110" s="20">
        <v>100</v>
      </c>
      <c r="D110" s="20">
        <v>15.11528608027327</v>
      </c>
      <c r="E110" s="18">
        <v>5268</v>
      </c>
    </row>
    <row r="111" spans="1:5" x14ac:dyDescent="0.3">
      <c r="A111" s="23">
        <v>3.8383365418278861</v>
      </c>
      <c r="B111" s="23">
        <v>8.5229591836734695</v>
      </c>
      <c r="C111" s="20">
        <v>100</v>
      </c>
      <c r="D111" s="20">
        <v>22.20324508966695</v>
      </c>
      <c r="E111" s="18">
        <v>10023</v>
      </c>
    </row>
    <row r="112" spans="1:5" x14ac:dyDescent="0.3">
      <c r="A112" s="23">
        <v>0.89041500755626113</v>
      </c>
      <c r="B112" s="23">
        <v>8.9472789115646254</v>
      </c>
      <c r="C112" s="20">
        <v>100</v>
      </c>
      <c r="D112" s="20">
        <v>100</v>
      </c>
      <c r="E112" s="18">
        <v>10522</v>
      </c>
    </row>
    <row r="113" spans="1:5" x14ac:dyDescent="0.3">
      <c r="A113" s="23">
        <v>3.4579444256173102</v>
      </c>
      <c r="B113" s="23">
        <v>16.097789115646261</v>
      </c>
      <c r="C113" s="20">
        <v>100</v>
      </c>
      <c r="D113" s="20">
        <v>30.401366353543981</v>
      </c>
      <c r="E113" s="18">
        <v>18931</v>
      </c>
    </row>
    <row r="114" spans="1:5" x14ac:dyDescent="0.3">
      <c r="A114" s="23">
        <v>3.1152504529901148</v>
      </c>
      <c r="B114" s="23">
        <v>29.020408163265309</v>
      </c>
      <c r="C114" s="20">
        <v>100</v>
      </c>
      <c r="D114" s="20">
        <v>40.563620836891538</v>
      </c>
      <c r="E114" s="18">
        <v>34128</v>
      </c>
    </row>
    <row r="115" spans="1:5" x14ac:dyDescent="0.3">
      <c r="A115" s="23">
        <v>0.98836535242610823</v>
      </c>
      <c r="B115" s="23">
        <v>32.56547619047619</v>
      </c>
      <c r="C115" s="20">
        <v>100</v>
      </c>
      <c r="D115" s="20">
        <v>100</v>
      </c>
      <c r="E115" s="18">
        <v>38297</v>
      </c>
    </row>
    <row r="116" spans="1:5" x14ac:dyDescent="0.3">
      <c r="A116" s="23">
        <v>1</v>
      </c>
      <c r="B116" s="23">
        <v>36.844387755102041</v>
      </c>
      <c r="C116" s="20">
        <v>100</v>
      </c>
      <c r="D116" s="20">
        <v>100</v>
      </c>
      <c r="E116" s="18">
        <v>43329</v>
      </c>
    </row>
    <row r="117" spans="1:5" x14ac:dyDescent="0.3">
      <c r="A117" s="23">
        <v>2.8065186105825348</v>
      </c>
      <c r="B117" s="23">
        <v>50.403911564625837</v>
      </c>
      <c r="C117" s="20">
        <v>100</v>
      </c>
      <c r="D117" s="20">
        <v>52.433817250213487</v>
      </c>
      <c r="E117" s="18">
        <v>59275</v>
      </c>
    </row>
    <row r="118" spans="1:5" x14ac:dyDescent="0.3">
      <c r="A118" s="23">
        <v>2.5283831365744498</v>
      </c>
      <c r="B118" s="23">
        <v>82.991496598639458</v>
      </c>
      <c r="C118" s="20">
        <v>100</v>
      </c>
      <c r="D118" s="20">
        <v>63.620836891545693</v>
      </c>
      <c r="E118" s="18">
        <v>97598</v>
      </c>
    </row>
    <row r="119" spans="1:5" x14ac:dyDescent="0.3">
      <c r="A119" s="23">
        <v>1.097090751600637</v>
      </c>
      <c r="B119" s="23">
        <v>85.989795918367349</v>
      </c>
      <c r="C119" s="20">
        <v>100</v>
      </c>
      <c r="D119" s="20">
        <v>100</v>
      </c>
      <c r="E119" s="18">
        <v>101124</v>
      </c>
    </row>
    <row r="120" spans="1:5" x14ac:dyDescent="0.3">
      <c r="A120" s="23">
        <v>2.2778118275107921</v>
      </c>
      <c r="B120" s="23">
        <v>129.01275510204081</v>
      </c>
      <c r="C120" s="20">
        <v>100</v>
      </c>
      <c r="D120" s="20">
        <v>74.46626814688301</v>
      </c>
      <c r="E120" s="18">
        <v>151719</v>
      </c>
    </row>
    <row r="121" spans="1:5" x14ac:dyDescent="0.3">
      <c r="A121" s="23">
        <v>1.217776517856674</v>
      </c>
      <c r="B121" s="23">
        <v>166.29421768707479</v>
      </c>
      <c r="C121" s="20">
        <v>100</v>
      </c>
      <c r="D121" s="20">
        <v>99.914602903501276</v>
      </c>
      <c r="E121" s="18">
        <v>195562</v>
      </c>
    </row>
    <row r="122" spans="1:5" x14ac:dyDescent="0.3">
      <c r="A122" s="23">
        <v>2.052072981540896</v>
      </c>
      <c r="B122" s="23">
        <v>186.04166666666671</v>
      </c>
      <c r="C122" s="20">
        <v>100</v>
      </c>
      <c r="D122" s="20">
        <v>84.201537147736985</v>
      </c>
      <c r="E122" s="18">
        <v>218785</v>
      </c>
    </row>
    <row r="123" spans="1:5" x14ac:dyDescent="0.3">
      <c r="A123" s="23">
        <v>1.8487056176944849</v>
      </c>
      <c r="B123" s="23">
        <v>245.09863945578229</v>
      </c>
      <c r="C123" s="20">
        <v>100</v>
      </c>
      <c r="D123" s="20">
        <v>90.350128095644749</v>
      </c>
      <c r="E123" s="18">
        <v>288236</v>
      </c>
    </row>
    <row r="124" spans="1:5" x14ac:dyDescent="0.3">
      <c r="A124" s="23">
        <v>1.35173835462516</v>
      </c>
      <c r="B124" s="23">
        <v>246.3384353741497</v>
      </c>
      <c r="C124" s="20">
        <v>100</v>
      </c>
      <c r="D124" s="20">
        <v>99.316823228010236</v>
      </c>
      <c r="E124" s="18">
        <v>289694</v>
      </c>
    </row>
    <row r="125" spans="1:5" x14ac:dyDescent="0.3">
      <c r="A125" s="23">
        <v>1.6654926465279991</v>
      </c>
      <c r="B125" s="23">
        <v>287.81802721088428</v>
      </c>
      <c r="C125" s="20">
        <v>100</v>
      </c>
      <c r="D125" s="20">
        <v>95.730145175064052</v>
      </c>
      <c r="E125" s="18">
        <v>338474</v>
      </c>
    </row>
    <row r="126" spans="1:5" x14ac:dyDescent="0.3">
      <c r="A126" s="23">
        <v>1.5004366996504921</v>
      </c>
      <c r="B126" s="23">
        <v>291.40646258503398</v>
      </c>
      <c r="C126" s="20">
        <v>100</v>
      </c>
      <c r="D126" s="20">
        <v>98.121263877028184</v>
      </c>
      <c r="E126" s="18">
        <v>342694</v>
      </c>
    </row>
    <row r="128" spans="1:5" ht="22.05" customHeight="1" x14ac:dyDescent="0.3">
      <c r="A128" s="41" t="s">
        <v>38</v>
      </c>
      <c r="B128" s="35"/>
      <c r="C128" s="35"/>
      <c r="D128" s="35"/>
      <c r="E128" s="35"/>
    </row>
    <row r="129" spans="1:5" ht="18" customHeight="1" x14ac:dyDescent="0.3">
      <c r="A129" s="22" t="s">
        <v>108</v>
      </c>
      <c r="B129" s="22" t="s">
        <v>109</v>
      </c>
      <c r="C129" s="22" t="s">
        <v>110</v>
      </c>
      <c r="D129" s="22" t="s">
        <v>111</v>
      </c>
      <c r="E129" s="22" t="s">
        <v>112</v>
      </c>
    </row>
    <row r="130" spans="1:5" x14ac:dyDescent="0.3">
      <c r="A130" s="23">
        <v>22.73464606317966</v>
      </c>
      <c r="B130" s="23">
        <v>0</v>
      </c>
      <c r="C130" s="20">
        <v>0</v>
      </c>
      <c r="D130" s="20">
        <v>0</v>
      </c>
      <c r="E130" s="18">
        <v>0</v>
      </c>
    </row>
    <row r="131" spans="1:5" x14ac:dyDescent="0.3">
      <c r="A131" s="23">
        <v>2.2734646063179662</v>
      </c>
      <c r="B131" s="23">
        <v>0.22023809523809521</v>
      </c>
      <c r="C131" s="20">
        <v>0.76857386848847142</v>
      </c>
      <c r="D131" s="20">
        <v>0.76857386848847142</v>
      </c>
      <c r="E131" s="18">
        <v>259</v>
      </c>
    </row>
    <row r="132" spans="1:5" x14ac:dyDescent="0.3">
      <c r="A132" s="23">
        <v>1</v>
      </c>
      <c r="B132" s="23">
        <v>18.44047619047619</v>
      </c>
      <c r="C132" s="20">
        <v>79.333902647309998</v>
      </c>
      <c r="D132" s="20">
        <v>79.333902647309998</v>
      </c>
      <c r="E132" s="18">
        <v>21686</v>
      </c>
    </row>
    <row r="133" spans="1:5" x14ac:dyDescent="0.3">
      <c r="A133" s="23">
        <v>0.95561484612703762</v>
      </c>
      <c r="B133" s="23">
        <v>19.35969387755102</v>
      </c>
      <c r="C133" s="20">
        <v>79.8462852263023</v>
      </c>
      <c r="D133" s="20">
        <v>79.8462852263023</v>
      </c>
      <c r="E133" s="18">
        <v>22767</v>
      </c>
    </row>
    <row r="134" spans="1:5" x14ac:dyDescent="0.3">
      <c r="A134" s="23">
        <v>0.6195555240615882</v>
      </c>
      <c r="B134" s="23">
        <v>26.263605442176871</v>
      </c>
      <c r="C134" s="20">
        <v>86.507258753202393</v>
      </c>
      <c r="D134" s="20">
        <v>86.507258753202393</v>
      </c>
      <c r="E134" s="18">
        <v>30886</v>
      </c>
    </row>
    <row r="135" spans="1:5" x14ac:dyDescent="0.3">
      <c r="A135" s="23">
        <v>0.40167756806093091</v>
      </c>
      <c r="B135" s="23">
        <v>30.02551020408163</v>
      </c>
      <c r="C135" s="20">
        <v>92.912040990606314</v>
      </c>
      <c r="D135" s="20">
        <v>92.912040990606314</v>
      </c>
      <c r="E135" s="18">
        <v>35310</v>
      </c>
    </row>
    <row r="136" spans="1:5" x14ac:dyDescent="0.3">
      <c r="A136" s="23">
        <v>0.26042035365228211</v>
      </c>
      <c r="B136" s="23">
        <v>32.492346938775512</v>
      </c>
      <c r="C136" s="20">
        <v>96.327924850555078</v>
      </c>
      <c r="D136" s="20">
        <v>96.327924850555078</v>
      </c>
      <c r="E136" s="18">
        <v>38211</v>
      </c>
    </row>
    <row r="137" spans="1:5" x14ac:dyDescent="0.3">
      <c r="A137" s="23">
        <v>0.1688388050240639</v>
      </c>
      <c r="B137" s="23">
        <v>35.97789115646259</v>
      </c>
      <c r="C137" s="20">
        <v>97.011101622544842</v>
      </c>
      <c r="D137" s="20">
        <v>97.011101622544842</v>
      </c>
      <c r="E137" s="18">
        <v>42310</v>
      </c>
    </row>
    <row r="138" spans="1:5" x14ac:dyDescent="0.3">
      <c r="A138" s="23">
        <v>1.473959473642952</v>
      </c>
      <c r="B138" s="23">
        <v>38.719387755102041</v>
      </c>
      <c r="C138" s="20">
        <v>97.011101622544842</v>
      </c>
      <c r="D138" s="20">
        <v>55.678906917164817</v>
      </c>
      <c r="E138" s="18">
        <v>45534</v>
      </c>
    </row>
    <row r="139" spans="1:5" x14ac:dyDescent="0.3">
      <c r="A139" s="23">
        <v>0.1094635718067426</v>
      </c>
      <c r="B139" s="23">
        <v>40.863095238095241</v>
      </c>
      <c r="C139" s="20">
        <v>97.181895815542276</v>
      </c>
      <c r="D139" s="20">
        <v>97.181895815542276</v>
      </c>
      <c r="E139" s="18">
        <v>48055</v>
      </c>
    </row>
    <row r="140" spans="1:5" x14ac:dyDescent="0.3">
      <c r="A140" s="23">
        <v>7.0968718067994499E-2</v>
      </c>
      <c r="B140" s="23">
        <v>47.479591836734691</v>
      </c>
      <c r="C140" s="20">
        <v>97.267292912040986</v>
      </c>
      <c r="D140" s="20">
        <v>97.267292912040986</v>
      </c>
      <c r="E140" s="18">
        <v>55836</v>
      </c>
    </row>
    <row r="141" spans="1:5" x14ac:dyDescent="0.3">
      <c r="A141" s="23">
        <v>4.6011279013501501E-2</v>
      </c>
      <c r="B141" s="23">
        <v>53.914965986394563</v>
      </c>
      <c r="C141" s="20">
        <v>97.438087105038434</v>
      </c>
      <c r="D141" s="20">
        <v>97.438087105038434</v>
      </c>
      <c r="E141" s="18">
        <v>63404</v>
      </c>
    </row>
    <row r="142" spans="1:5" x14ac:dyDescent="0.3">
      <c r="A142" s="23">
        <v>2.983057682442521E-2</v>
      </c>
      <c r="B142" s="23">
        <v>58.292517006802733</v>
      </c>
      <c r="C142" s="20">
        <v>97.865072587532026</v>
      </c>
      <c r="D142" s="20">
        <v>97.865072587532026</v>
      </c>
      <c r="E142" s="18">
        <v>68552</v>
      </c>
    </row>
    <row r="143" spans="1:5" x14ac:dyDescent="0.3">
      <c r="A143" s="23">
        <v>1.436293082893207E-3</v>
      </c>
      <c r="B143" s="23">
        <v>58.854591836734691</v>
      </c>
      <c r="C143" s="20">
        <v>99.743808710503842</v>
      </c>
      <c r="D143" s="20">
        <v>99.743808710503842</v>
      </c>
      <c r="E143" s="18">
        <v>69213</v>
      </c>
    </row>
    <row r="144" spans="1:5" x14ac:dyDescent="0.3">
      <c r="A144" s="23">
        <v>9.3119452600010989E-4</v>
      </c>
      <c r="B144" s="23">
        <v>58.926870748299322</v>
      </c>
      <c r="C144" s="20">
        <v>99.743808710503842</v>
      </c>
      <c r="D144" s="20">
        <v>99.743808710503842</v>
      </c>
      <c r="E144" s="18">
        <v>69298</v>
      </c>
    </row>
    <row r="145" spans="1:5" x14ac:dyDescent="0.3">
      <c r="A145" s="23">
        <v>2.2153672110038032E-3</v>
      </c>
      <c r="B145" s="23">
        <v>58.97534013605442</v>
      </c>
      <c r="C145" s="20">
        <v>99.743808710503842</v>
      </c>
      <c r="D145" s="20">
        <v>99.743808710503842</v>
      </c>
      <c r="E145" s="18">
        <v>69355</v>
      </c>
    </row>
    <row r="146" spans="1:5" x14ac:dyDescent="0.3">
      <c r="A146" s="23">
        <v>6.0372305317092645E-4</v>
      </c>
      <c r="B146" s="23">
        <v>59.076530612244888</v>
      </c>
      <c r="C146" s="20">
        <v>99.743808710503842</v>
      </c>
      <c r="D146" s="20">
        <v>99.743808710503842</v>
      </c>
      <c r="E146" s="18">
        <v>69474</v>
      </c>
    </row>
    <row r="147" spans="1:5" x14ac:dyDescent="0.3">
      <c r="A147" s="23">
        <v>6.9155143466007059E-6</v>
      </c>
      <c r="B147" s="23">
        <v>59.102891156462583</v>
      </c>
      <c r="C147" s="20">
        <v>99.743808710503842</v>
      </c>
      <c r="D147" s="20">
        <v>99.743808710503842</v>
      </c>
      <c r="E147" s="18">
        <v>69505</v>
      </c>
    </row>
    <row r="148" spans="1:5" x14ac:dyDescent="0.3">
      <c r="A148" s="23">
        <v>6.9155143466007084E-5</v>
      </c>
      <c r="B148" s="23">
        <v>59.142857142857153</v>
      </c>
      <c r="C148" s="20">
        <v>99.743808710503842</v>
      </c>
      <c r="D148" s="20">
        <v>99.743808710503842</v>
      </c>
      <c r="E148" s="18">
        <v>69552</v>
      </c>
    </row>
    <row r="149" spans="1:5" x14ac:dyDescent="0.3">
      <c r="A149" s="23">
        <v>1.066662780261034E-4</v>
      </c>
      <c r="B149" s="23">
        <v>59.164965986394563</v>
      </c>
      <c r="C149" s="20">
        <v>99.743808710503842</v>
      </c>
      <c r="D149" s="20">
        <v>99.743808710503842</v>
      </c>
      <c r="E149" s="18">
        <v>69578</v>
      </c>
    </row>
    <row r="150" spans="1:5" x14ac:dyDescent="0.3">
      <c r="A150" s="23">
        <v>1.6452420308454209E-4</v>
      </c>
      <c r="B150" s="23">
        <v>59.168367346938773</v>
      </c>
      <c r="C150" s="20">
        <v>99.743808710503842</v>
      </c>
      <c r="D150" s="20">
        <v>99.743808710503842</v>
      </c>
      <c r="E150" s="18">
        <v>69582</v>
      </c>
    </row>
    <row r="151" spans="1:5" x14ac:dyDescent="0.3">
      <c r="A151" s="23">
        <v>2.5376542522632597E-4</v>
      </c>
      <c r="B151" s="23">
        <v>59.173469387755112</v>
      </c>
      <c r="C151" s="20">
        <v>99.743808710503842</v>
      </c>
      <c r="D151" s="20">
        <v>99.743808710503842</v>
      </c>
      <c r="E151" s="18">
        <v>69588</v>
      </c>
    </row>
    <row r="152" spans="1:5" x14ac:dyDescent="0.3">
      <c r="A152" s="23">
        <v>3.9141287320022572E-4</v>
      </c>
      <c r="B152" s="23">
        <v>59.201530612244888</v>
      </c>
      <c r="C152" s="20">
        <v>99.743808710503842</v>
      </c>
      <c r="D152" s="20">
        <v>99.743808710503842</v>
      </c>
      <c r="E152" s="18">
        <v>69621</v>
      </c>
    </row>
    <row r="153" spans="1:5" x14ac:dyDescent="0.3">
      <c r="A153" s="23">
        <v>3.4170267461739799E-3</v>
      </c>
      <c r="B153" s="23">
        <v>59.375</v>
      </c>
      <c r="C153" s="20">
        <v>99.743808710503842</v>
      </c>
      <c r="D153" s="20">
        <v>99.658411614005132</v>
      </c>
      <c r="E153" s="18">
        <v>69825</v>
      </c>
    </row>
    <row r="154" spans="1:5" x14ac:dyDescent="0.3">
      <c r="A154" s="23">
        <v>5.2704904749302506E-3</v>
      </c>
      <c r="B154" s="23">
        <v>59.875</v>
      </c>
      <c r="C154" s="20">
        <v>99.743808710503842</v>
      </c>
      <c r="D154" s="20">
        <v>99.573014517506408</v>
      </c>
      <c r="E154" s="18">
        <v>70413</v>
      </c>
    </row>
    <row r="155" spans="1:5" x14ac:dyDescent="0.3">
      <c r="A155" s="23">
        <v>1.9340112527991539E-2</v>
      </c>
      <c r="B155" s="23">
        <v>60.297619047619051</v>
      </c>
      <c r="C155" s="20">
        <v>99.743808710503842</v>
      </c>
      <c r="D155" s="20">
        <v>98.206660973526908</v>
      </c>
      <c r="E155" s="18">
        <v>70910</v>
      </c>
    </row>
    <row r="156" spans="1:5" x14ac:dyDescent="0.3">
      <c r="A156" s="23">
        <v>8.1293100434269069E-3</v>
      </c>
      <c r="B156" s="23">
        <v>60.526360544217681</v>
      </c>
      <c r="C156" s="20">
        <v>99.743808710503842</v>
      </c>
      <c r="D156" s="20">
        <v>99.402220324508974</v>
      </c>
      <c r="E156" s="18">
        <v>71179</v>
      </c>
    </row>
    <row r="157" spans="1:5" x14ac:dyDescent="0.3">
      <c r="A157" s="23">
        <v>1.253881059011612E-2</v>
      </c>
      <c r="B157" s="23">
        <v>60.888605442176868</v>
      </c>
      <c r="C157" s="20">
        <v>99.743808710503842</v>
      </c>
      <c r="D157" s="20">
        <v>98.975234842015368</v>
      </c>
      <c r="E157" s="18">
        <v>71605</v>
      </c>
    </row>
  </sheetData>
  <mergeCells count="7">
    <mergeCell ref="A1:H1"/>
    <mergeCell ref="A35:E35"/>
    <mergeCell ref="A4:E4"/>
    <mergeCell ref="A2:H2"/>
    <mergeCell ref="A128:E128"/>
    <mergeCell ref="A66:E66"/>
    <mergeCell ref="A97:E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7"/>
  <sheetViews>
    <sheetView workbookViewId="0">
      <selection activeCell="E37" activeCellId="1" sqref="A37:A64 E37:E64"/>
    </sheetView>
  </sheetViews>
  <sheetFormatPr defaultRowHeight="14.4" x14ac:dyDescent="0.3"/>
  <cols>
    <col min="1" max="2" width="22" customWidth="1"/>
    <col min="3" max="4" width="20" customWidth="1"/>
    <col min="5" max="5" width="19" customWidth="1"/>
    <col min="6" max="8" width="12" customWidth="1"/>
  </cols>
  <sheetData>
    <row r="1" spans="1:8" ht="17.399999999999999" x14ac:dyDescent="0.3">
      <c r="A1" s="39" t="s">
        <v>114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107</v>
      </c>
      <c r="B2" s="35"/>
      <c r="C2" s="35"/>
      <c r="D2" s="35"/>
      <c r="E2" s="35"/>
      <c r="F2" s="35"/>
      <c r="G2" s="35"/>
      <c r="H2" s="35"/>
    </row>
    <row r="4" spans="1:8" ht="22.05" customHeight="1" x14ac:dyDescent="0.3">
      <c r="A4" s="41" t="s">
        <v>30</v>
      </c>
      <c r="B4" s="35"/>
      <c r="C4" s="35"/>
      <c r="D4" s="35"/>
      <c r="E4" s="35"/>
    </row>
    <row r="5" spans="1:8" ht="18" customHeight="1" x14ac:dyDescent="0.3">
      <c r="A5" s="22" t="s">
        <v>108</v>
      </c>
      <c r="B5" s="22" t="s">
        <v>109</v>
      </c>
      <c r="C5" s="22" t="s">
        <v>110</v>
      </c>
      <c r="D5" s="22" t="s">
        <v>111</v>
      </c>
      <c r="E5" s="22" t="s">
        <v>112</v>
      </c>
    </row>
    <row r="6" spans="1:8" x14ac:dyDescent="0.3">
      <c r="A6" s="23">
        <v>0.50107814665140227</v>
      </c>
      <c r="B6" s="23">
        <v>0</v>
      </c>
      <c r="C6" s="20">
        <v>100</v>
      </c>
      <c r="D6" s="20">
        <v>100</v>
      </c>
      <c r="E6" s="18">
        <v>0</v>
      </c>
    </row>
    <row r="7" spans="1:8" x14ac:dyDescent="0.3">
      <c r="A7" s="23">
        <v>0.5822909668220243</v>
      </c>
      <c r="B7" s="23">
        <v>0</v>
      </c>
      <c r="C7" s="20">
        <v>100</v>
      </c>
      <c r="D7" s="20">
        <v>100</v>
      </c>
      <c r="E7" s="18">
        <v>0</v>
      </c>
    </row>
    <row r="8" spans="1:8" x14ac:dyDescent="0.3">
      <c r="A8" s="23">
        <v>0.676666448753376</v>
      </c>
      <c r="B8" s="23">
        <v>0</v>
      </c>
      <c r="C8" s="20">
        <v>100</v>
      </c>
      <c r="D8" s="20">
        <v>100</v>
      </c>
      <c r="E8" s="18">
        <v>0</v>
      </c>
    </row>
    <row r="9" spans="1:8" x14ac:dyDescent="0.3">
      <c r="A9" s="23">
        <v>0.78633794607439667</v>
      </c>
      <c r="B9" s="23">
        <v>0</v>
      </c>
      <c r="C9" s="20">
        <v>100</v>
      </c>
      <c r="D9" s="20">
        <v>100</v>
      </c>
      <c r="E9" s="18">
        <v>0</v>
      </c>
    </row>
    <row r="10" spans="1:8" x14ac:dyDescent="0.3">
      <c r="A10" s="23">
        <v>35.314668865112978</v>
      </c>
      <c r="B10" s="23">
        <v>0</v>
      </c>
      <c r="C10" s="20">
        <v>100</v>
      </c>
      <c r="D10" s="20">
        <v>0</v>
      </c>
      <c r="E10" s="18">
        <v>0</v>
      </c>
    </row>
    <row r="11" spans="1:8" x14ac:dyDescent="0.3">
      <c r="A11" s="23">
        <v>3.5314668865112981</v>
      </c>
      <c r="B11" s="23">
        <v>0</v>
      </c>
      <c r="C11" s="20">
        <v>100</v>
      </c>
      <c r="D11" s="20">
        <v>19.44444444444445</v>
      </c>
      <c r="E11" s="18">
        <v>0</v>
      </c>
    </row>
    <row r="12" spans="1:8" x14ac:dyDescent="0.3">
      <c r="A12" s="23">
        <v>3.0389289603984779</v>
      </c>
      <c r="B12" s="23">
        <v>0</v>
      </c>
      <c r="C12" s="20">
        <v>100</v>
      </c>
      <c r="D12" s="20">
        <v>71.759259259259252</v>
      </c>
      <c r="E12" s="18">
        <v>0</v>
      </c>
    </row>
    <row r="13" spans="1:8" x14ac:dyDescent="0.3">
      <c r="A13" s="23">
        <v>2.615085890121946</v>
      </c>
      <c r="B13" s="23">
        <v>0</v>
      </c>
      <c r="C13" s="20">
        <v>100</v>
      </c>
      <c r="D13" s="20">
        <v>97.68518518518519</v>
      </c>
      <c r="E13" s="18">
        <v>0</v>
      </c>
    </row>
    <row r="14" spans="1:8" x14ac:dyDescent="0.3">
      <c r="A14" s="23">
        <v>2.250356721671499</v>
      </c>
      <c r="B14" s="23">
        <v>0</v>
      </c>
      <c r="C14" s="20">
        <v>100</v>
      </c>
      <c r="D14" s="20">
        <v>100</v>
      </c>
      <c r="E14" s="18">
        <v>0</v>
      </c>
    </row>
    <row r="15" spans="1:8" x14ac:dyDescent="0.3">
      <c r="A15" s="23">
        <v>1.936496768194464</v>
      </c>
      <c r="B15" s="23">
        <v>0</v>
      </c>
      <c r="C15" s="20">
        <v>100</v>
      </c>
      <c r="D15" s="20">
        <v>100</v>
      </c>
      <c r="E15" s="18">
        <v>0</v>
      </c>
    </row>
    <row r="16" spans="1:8" x14ac:dyDescent="0.3">
      <c r="A16" s="23">
        <v>1.666411239211089</v>
      </c>
      <c r="B16" s="23">
        <v>0</v>
      </c>
      <c r="C16" s="20">
        <v>100</v>
      </c>
      <c r="D16" s="20">
        <v>100</v>
      </c>
      <c r="E16" s="18">
        <v>0</v>
      </c>
    </row>
    <row r="17" spans="1:5" x14ac:dyDescent="0.3">
      <c r="A17" s="23">
        <v>1.433994863186973</v>
      </c>
      <c r="B17" s="23">
        <v>0</v>
      </c>
      <c r="C17" s="20">
        <v>100</v>
      </c>
      <c r="D17" s="20">
        <v>100</v>
      </c>
      <c r="E17" s="18">
        <v>0</v>
      </c>
    </row>
    <row r="18" spans="1:5" x14ac:dyDescent="0.3">
      <c r="A18" s="23">
        <v>1.233993878137871</v>
      </c>
      <c r="B18" s="23">
        <v>0</v>
      </c>
      <c r="C18" s="20">
        <v>100</v>
      </c>
      <c r="D18" s="20">
        <v>100</v>
      </c>
      <c r="E18" s="18">
        <v>0</v>
      </c>
    </row>
    <row r="19" spans="1:5" x14ac:dyDescent="0.3">
      <c r="A19" s="23">
        <v>1.061887270570506</v>
      </c>
      <c r="B19" s="23">
        <v>0</v>
      </c>
      <c r="C19" s="20">
        <v>100</v>
      </c>
      <c r="D19" s="20">
        <v>100</v>
      </c>
      <c r="E19" s="18">
        <v>0</v>
      </c>
    </row>
    <row r="20" spans="1:5" x14ac:dyDescent="0.3">
      <c r="A20" s="23">
        <v>1</v>
      </c>
      <c r="B20" s="23">
        <v>0</v>
      </c>
      <c r="C20" s="20">
        <v>100</v>
      </c>
      <c r="D20" s="20">
        <v>100</v>
      </c>
      <c r="E20" s="18">
        <v>0</v>
      </c>
    </row>
    <row r="21" spans="1:5" x14ac:dyDescent="0.3">
      <c r="A21" s="23">
        <v>0.9137845781708942</v>
      </c>
      <c r="B21" s="23">
        <v>0</v>
      </c>
      <c r="C21" s="20">
        <v>100</v>
      </c>
      <c r="D21" s="20">
        <v>100</v>
      </c>
      <c r="E21" s="18">
        <v>0</v>
      </c>
    </row>
    <row r="22" spans="1:5" x14ac:dyDescent="0.3">
      <c r="A22" s="23">
        <v>0.43119217600424492</v>
      </c>
      <c r="B22" s="23">
        <v>4.6296296296296294E-3</v>
      </c>
      <c r="C22" s="20">
        <v>100</v>
      </c>
      <c r="D22" s="20">
        <v>100</v>
      </c>
      <c r="E22" s="18">
        <v>1</v>
      </c>
    </row>
    <row r="23" spans="1:5" x14ac:dyDescent="0.3">
      <c r="A23" s="23">
        <v>0.37105328557987199</v>
      </c>
      <c r="B23" s="23">
        <v>1.388888888888889E-2</v>
      </c>
      <c r="C23" s="20">
        <v>100</v>
      </c>
      <c r="D23" s="20">
        <v>100</v>
      </c>
      <c r="E23" s="18">
        <v>3</v>
      </c>
    </row>
    <row r="24" spans="1:5" x14ac:dyDescent="0.3">
      <c r="A24" s="23">
        <v>0.31930203839844862</v>
      </c>
      <c r="B24" s="23">
        <v>0.1157407407407408</v>
      </c>
      <c r="C24" s="20">
        <v>100</v>
      </c>
      <c r="D24" s="20">
        <v>100</v>
      </c>
      <c r="E24" s="18">
        <v>25</v>
      </c>
    </row>
    <row r="25" spans="1:5" x14ac:dyDescent="0.3">
      <c r="A25" s="23">
        <v>9.6011878615541724E-3</v>
      </c>
      <c r="B25" s="23">
        <v>1.041666666666667</v>
      </c>
      <c r="C25" s="20">
        <v>100</v>
      </c>
      <c r="D25" s="20">
        <v>100</v>
      </c>
      <c r="E25" s="18">
        <v>225</v>
      </c>
    </row>
    <row r="26" spans="1:5" x14ac:dyDescent="0.3">
      <c r="A26" s="23">
        <v>9.601187861554171E-2</v>
      </c>
      <c r="B26" s="23">
        <v>1.0972222222222221</v>
      </c>
      <c r="C26" s="20">
        <v>100</v>
      </c>
      <c r="D26" s="20">
        <v>100</v>
      </c>
      <c r="E26" s="18">
        <v>237</v>
      </c>
    </row>
    <row r="27" spans="1:5" x14ac:dyDescent="0.3">
      <c r="A27" s="23">
        <v>0.27476859978769291</v>
      </c>
      <c r="B27" s="23">
        <v>1.9537037037037031</v>
      </c>
      <c r="C27" s="20">
        <v>100</v>
      </c>
      <c r="D27" s="20">
        <v>100</v>
      </c>
      <c r="E27" s="18">
        <v>422</v>
      </c>
    </row>
    <row r="28" spans="1:5" x14ac:dyDescent="0.3">
      <c r="A28" s="23">
        <v>0.11157311489047381</v>
      </c>
      <c r="B28" s="23">
        <v>3.3194444444444451</v>
      </c>
      <c r="C28" s="20">
        <v>100</v>
      </c>
      <c r="D28" s="20">
        <v>100</v>
      </c>
      <c r="E28" s="18">
        <v>717</v>
      </c>
    </row>
    <row r="29" spans="1:5" x14ac:dyDescent="0.3">
      <c r="A29" s="23">
        <v>0.23644629332142769</v>
      </c>
      <c r="B29" s="23">
        <v>24.12037037037037</v>
      </c>
      <c r="C29" s="20">
        <v>100</v>
      </c>
      <c r="D29" s="20">
        <v>100</v>
      </c>
      <c r="E29" s="18">
        <v>5210</v>
      </c>
    </row>
    <row r="30" spans="1:5" x14ac:dyDescent="0.3">
      <c r="A30" s="23">
        <v>0.12965645653295019</v>
      </c>
      <c r="B30" s="23">
        <v>30.527777777777779</v>
      </c>
      <c r="C30" s="20">
        <v>100</v>
      </c>
      <c r="D30" s="20">
        <v>100</v>
      </c>
      <c r="E30" s="18">
        <v>6594</v>
      </c>
    </row>
    <row r="31" spans="1:5" x14ac:dyDescent="0.3">
      <c r="A31" s="23">
        <v>0.2034688449431285</v>
      </c>
      <c r="B31" s="23">
        <v>110.8194444444444</v>
      </c>
      <c r="C31" s="20">
        <v>100</v>
      </c>
      <c r="D31" s="20">
        <v>100</v>
      </c>
      <c r="E31" s="18">
        <v>23937</v>
      </c>
    </row>
    <row r="32" spans="1:5" x14ac:dyDescent="0.3">
      <c r="A32" s="23">
        <v>0.15067067668750839</v>
      </c>
      <c r="B32" s="23">
        <v>124.7546296296296</v>
      </c>
      <c r="C32" s="20">
        <v>100</v>
      </c>
      <c r="D32" s="20">
        <v>100</v>
      </c>
      <c r="E32" s="18">
        <v>26947</v>
      </c>
    </row>
    <row r="33" spans="1:5" x14ac:dyDescent="0.3">
      <c r="A33" s="23">
        <v>0.17509080087887791</v>
      </c>
      <c r="B33" s="23">
        <v>192.11111111111109</v>
      </c>
      <c r="C33" s="20">
        <v>100</v>
      </c>
      <c r="D33" s="20">
        <v>100</v>
      </c>
      <c r="E33" s="18">
        <v>41496</v>
      </c>
    </row>
    <row r="35" spans="1:5" ht="22.05" customHeight="1" x14ac:dyDescent="0.3">
      <c r="A35" s="41" t="s">
        <v>32</v>
      </c>
      <c r="B35" s="35"/>
      <c r="C35" s="35"/>
      <c r="D35" s="35"/>
      <c r="E35" s="35"/>
    </row>
    <row r="36" spans="1:5" ht="18" customHeight="1" x14ac:dyDescent="0.3">
      <c r="A36" s="22" t="s">
        <v>108</v>
      </c>
      <c r="B36" s="22" t="s">
        <v>109</v>
      </c>
      <c r="C36" s="22" t="s">
        <v>110</v>
      </c>
      <c r="D36" s="22" t="s">
        <v>111</v>
      </c>
      <c r="E36" s="22" t="s">
        <v>112</v>
      </c>
    </row>
    <row r="37" spans="1:5" x14ac:dyDescent="0.3">
      <c r="A37" s="23">
        <v>33.99243936391094</v>
      </c>
      <c r="B37" s="23">
        <v>0</v>
      </c>
      <c r="C37" s="20">
        <v>36.574074074074083</v>
      </c>
      <c r="D37" s="20">
        <v>36.574074074074083</v>
      </c>
      <c r="E37" s="18">
        <v>0</v>
      </c>
    </row>
    <row r="38" spans="1:5" x14ac:dyDescent="0.3">
      <c r="A38" s="23">
        <v>40.547745404030081</v>
      </c>
      <c r="B38" s="23">
        <v>0</v>
      </c>
      <c r="C38" s="20">
        <v>36.574074074074083</v>
      </c>
      <c r="D38" s="20">
        <v>27.777777777777779</v>
      </c>
      <c r="E38" s="18">
        <v>0</v>
      </c>
    </row>
    <row r="39" spans="1:5" x14ac:dyDescent="0.3">
      <c r="A39" s="23">
        <v>48.367216007909413</v>
      </c>
      <c r="B39" s="23">
        <v>0</v>
      </c>
      <c r="C39" s="20">
        <v>36.574074074074083</v>
      </c>
      <c r="D39" s="20">
        <v>15.74074074074074</v>
      </c>
      <c r="E39" s="18">
        <v>0</v>
      </c>
    </row>
    <row r="40" spans="1:5" x14ac:dyDescent="0.3">
      <c r="A40" s="23">
        <v>28.496921897766409</v>
      </c>
      <c r="B40" s="23">
        <v>0</v>
      </c>
      <c r="C40" s="20">
        <v>42.592592592592602</v>
      </c>
      <c r="D40" s="20">
        <v>42.592592592592602</v>
      </c>
      <c r="E40" s="18">
        <v>0</v>
      </c>
    </row>
    <row r="41" spans="1:5" x14ac:dyDescent="0.3">
      <c r="A41" s="23">
        <v>16.789772591306509</v>
      </c>
      <c r="B41" s="23">
        <v>0</v>
      </c>
      <c r="C41" s="20">
        <v>67.592592592592595</v>
      </c>
      <c r="D41" s="20">
        <v>67.592592592592595</v>
      </c>
      <c r="E41" s="18">
        <v>0</v>
      </c>
    </row>
    <row r="42" spans="1:5" x14ac:dyDescent="0.3">
      <c r="A42" s="23">
        <v>20.02761311524576</v>
      </c>
      <c r="B42" s="23">
        <v>0</v>
      </c>
      <c r="C42" s="20">
        <v>67.592592592592595</v>
      </c>
      <c r="D42" s="20">
        <v>56.944444444444443</v>
      </c>
      <c r="E42" s="18">
        <v>0</v>
      </c>
    </row>
    <row r="43" spans="1:5" x14ac:dyDescent="0.3">
      <c r="A43" s="23">
        <v>23.889858240346271</v>
      </c>
      <c r="B43" s="23">
        <v>0</v>
      </c>
      <c r="C43" s="20">
        <v>67.592592592592595</v>
      </c>
      <c r="D43" s="20">
        <v>45.833333333333329</v>
      </c>
      <c r="E43" s="18">
        <v>0</v>
      </c>
    </row>
    <row r="44" spans="1:5" x14ac:dyDescent="0.3">
      <c r="A44" s="23">
        <v>483.67216007909411</v>
      </c>
      <c r="B44" s="23">
        <v>0</v>
      </c>
      <c r="C44" s="20">
        <v>67.592592592592595</v>
      </c>
      <c r="D44" s="20">
        <v>0</v>
      </c>
      <c r="E44" s="18">
        <v>0</v>
      </c>
    </row>
    <row r="45" spans="1:5" x14ac:dyDescent="0.3">
      <c r="A45" s="23">
        <v>14.07538991519651</v>
      </c>
      <c r="B45" s="23">
        <v>0</v>
      </c>
      <c r="C45" s="20">
        <v>86.574074074074076</v>
      </c>
      <c r="D45" s="20">
        <v>86.574074074074076</v>
      </c>
      <c r="E45" s="18">
        <v>0</v>
      </c>
    </row>
    <row r="46" spans="1:5" x14ac:dyDescent="0.3">
      <c r="A46" s="23">
        <v>11.799838275796381</v>
      </c>
      <c r="B46" s="23">
        <v>9.2592592592592587E-3</v>
      </c>
      <c r="C46" s="20">
        <v>97.68518518518519</v>
      </c>
      <c r="D46" s="20">
        <v>97.68518518518519</v>
      </c>
      <c r="E46" s="18">
        <v>2</v>
      </c>
    </row>
    <row r="47" spans="1:5" x14ac:dyDescent="0.3">
      <c r="A47" s="23">
        <v>9.8921723784449327</v>
      </c>
      <c r="B47" s="23">
        <v>7.407407407407407E-2</v>
      </c>
      <c r="C47" s="20">
        <v>99.074074074074076</v>
      </c>
      <c r="D47" s="20">
        <v>99.074074074074076</v>
      </c>
      <c r="E47" s="18">
        <v>16</v>
      </c>
    </row>
    <row r="48" spans="1:5" x14ac:dyDescent="0.3">
      <c r="A48" s="23">
        <v>8.292916570355672</v>
      </c>
      <c r="B48" s="23">
        <v>0.47685185185185192</v>
      </c>
      <c r="C48" s="20">
        <v>99.074074074074076</v>
      </c>
      <c r="D48" s="20">
        <v>99.074074074074076</v>
      </c>
      <c r="E48" s="18">
        <v>103</v>
      </c>
    </row>
    <row r="49" spans="1:5" x14ac:dyDescent="0.3">
      <c r="A49" s="23">
        <v>7.0230536251391792E-2</v>
      </c>
      <c r="B49" s="23">
        <v>1.032407407407407</v>
      </c>
      <c r="C49" s="20">
        <v>99.074074074074076</v>
      </c>
      <c r="D49" s="20">
        <v>99.074074074074076</v>
      </c>
      <c r="E49" s="18">
        <v>223</v>
      </c>
    </row>
    <row r="50" spans="1:5" x14ac:dyDescent="0.3">
      <c r="A50" s="23">
        <v>0.70230536251391795</v>
      </c>
      <c r="B50" s="23">
        <v>1.037037037037037</v>
      </c>
      <c r="C50" s="20">
        <v>99.074074074074076</v>
      </c>
      <c r="D50" s="20">
        <v>99.074074074074076</v>
      </c>
      <c r="E50" s="18">
        <v>224</v>
      </c>
    </row>
    <row r="51" spans="1:5" x14ac:dyDescent="0.3">
      <c r="A51" s="23">
        <v>6.9522105571810506</v>
      </c>
      <c r="B51" s="23">
        <v>2.3194444444444451</v>
      </c>
      <c r="C51" s="20">
        <v>99.074074074074076</v>
      </c>
      <c r="D51" s="20">
        <v>99.074074074074076</v>
      </c>
      <c r="E51" s="18">
        <v>501</v>
      </c>
    </row>
    <row r="52" spans="1:5" x14ac:dyDescent="0.3">
      <c r="A52" s="23">
        <v>0.83774214407609482</v>
      </c>
      <c r="B52" s="23">
        <v>2.3888888888888888</v>
      </c>
      <c r="C52" s="20">
        <v>99.074074074074076</v>
      </c>
      <c r="D52" s="20">
        <v>99.074074074074076</v>
      </c>
      <c r="E52" s="18">
        <v>516</v>
      </c>
    </row>
    <row r="53" spans="1:5" x14ac:dyDescent="0.3">
      <c r="A53" s="23">
        <v>5.8282548993865886</v>
      </c>
      <c r="B53" s="23">
        <v>9.3240740740740744</v>
      </c>
      <c r="C53" s="20">
        <v>99.074074074074076</v>
      </c>
      <c r="D53" s="20">
        <v>99.074074074074076</v>
      </c>
      <c r="E53" s="18">
        <v>2014</v>
      </c>
    </row>
    <row r="54" spans="1:5" x14ac:dyDescent="0.3">
      <c r="A54" s="23">
        <v>0.99929736752836518</v>
      </c>
      <c r="B54" s="23">
        <v>22.773148148148149</v>
      </c>
      <c r="C54" s="20">
        <v>99.074074074074076</v>
      </c>
      <c r="D54" s="20">
        <v>99.074074074074076</v>
      </c>
      <c r="E54" s="18">
        <v>4919</v>
      </c>
    </row>
    <row r="55" spans="1:5" x14ac:dyDescent="0.3">
      <c r="A55" s="23">
        <v>1</v>
      </c>
      <c r="B55" s="23">
        <v>22.902777777777779</v>
      </c>
      <c r="C55" s="20">
        <v>99.074074074074076</v>
      </c>
      <c r="D55" s="20">
        <v>99.074074074074076</v>
      </c>
      <c r="E55" s="18">
        <v>4947</v>
      </c>
    </row>
    <row r="56" spans="1:5" x14ac:dyDescent="0.3">
      <c r="A56" s="23">
        <v>4.8860078233874997</v>
      </c>
      <c r="B56" s="23">
        <v>38.074074074074083</v>
      </c>
      <c r="C56" s="20">
        <v>99.074074074074076</v>
      </c>
      <c r="D56" s="20">
        <v>99.074074074074076</v>
      </c>
      <c r="E56" s="18">
        <v>8224</v>
      </c>
    </row>
    <row r="57" spans="1:5" x14ac:dyDescent="0.3">
      <c r="A57" s="23">
        <v>2.413329604144721</v>
      </c>
      <c r="B57" s="23">
        <v>41.93518518518519</v>
      </c>
      <c r="C57" s="20">
        <v>99.074074074074076</v>
      </c>
      <c r="D57" s="20">
        <v>99.074074074074076</v>
      </c>
      <c r="E57" s="18">
        <v>9058</v>
      </c>
    </row>
    <row r="58" spans="1:5" x14ac:dyDescent="0.3">
      <c r="A58" s="23">
        <v>2.878730570562098</v>
      </c>
      <c r="B58" s="23">
        <v>43.50925925925926</v>
      </c>
      <c r="C58" s="20">
        <v>99.074074074074076</v>
      </c>
      <c r="D58" s="20">
        <v>99.074074074074076</v>
      </c>
      <c r="E58" s="18">
        <v>9398</v>
      </c>
    </row>
    <row r="59" spans="1:5" x14ac:dyDescent="0.3">
      <c r="A59" s="23">
        <v>2.0231694614977802</v>
      </c>
      <c r="B59" s="23">
        <v>44.055555555555557</v>
      </c>
      <c r="C59" s="20">
        <v>99.074074074074076</v>
      </c>
      <c r="D59" s="20">
        <v>99.074074074074076</v>
      </c>
      <c r="E59" s="18">
        <v>9516</v>
      </c>
    </row>
    <row r="60" spans="1:5" x14ac:dyDescent="0.3">
      <c r="A60" s="23">
        <v>3.4338822528246009</v>
      </c>
      <c r="B60" s="23">
        <v>51.754629629629633</v>
      </c>
      <c r="C60" s="20">
        <v>99.074074074074076</v>
      </c>
      <c r="D60" s="20">
        <v>99.074074074074076</v>
      </c>
      <c r="E60" s="18">
        <v>11179</v>
      </c>
    </row>
    <row r="61" spans="1:5" x14ac:dyDescent="0.3">
      <c r="A61" s="23">
        <v>1.6960860476361841</v>
      </c>
      <c r="B61" s="23">
        <v>52.430555555555557</v>
      </c>
      <c r="C61" s="20">
        <v>99.074074074074076</v>
      </c>
      <c r="D61" s="20">
        <v>99.074074074074076</v>
      </c>
      <c r="E61" s="18">
        <v>11325</v>
      </c>
    </row>
    <row r="62" spans="1:5" x14ac:dyDescent="0.3">
      <c r="A62" s="23">
        <v>1.1920078699758181</v>
      </c>
      <c r="B62" s="23">
        <v>62.782407407407398</v>
      </c>
      <c r="C62" s="20">
        <v>99.074074074074076</v>
      </c>
      <c r="D62" s="20">
        <v>99.074074074074076</v>
      </c>
      <c r="E62" s="18">
        <v>13561</v>
      </c>
    </row>
    <row r="63" spans="1:5" x14ac:dyDescent="0.3">
      <c r="A63" s="23">
        <v>1.421881822423549</v>
      </c>
      <c r="B63" s="23">
        <v>63.032407407407398</v>
      </c>
      <c r="C63" s="20">
        <v>99.074074074074076</v>
      </c>
      <c r="D63" s="20">
        <v>99.074074074074076</v>
      </c>
      <c r="E63" s="18">
        <v>13615</v>
      </c>
    </row>
    <row r="64" spans="1:5" x14ac:dyDescent="0.3">
      <c r="A64" s="23">
        <v>4.0960927176874913</v>
      </c>
      <c r="B64" s="23">
        <v>66.027777777777771</v>
      </c>
      <c r="C64" s="20">
        <v>99.074074074074076</v>
      </c>
      <c r="D64" s="20">
        <v>99.074074074074076</v>
      </c>
      <c r="E64" s="18">
        <v>14262</v>
      </c>
    </row>
    <row r="66" spans="1:5" ht="22.05" customHeight="1" x14ac:dyDescent="0.3">
      <c r="A66" s="41" t="s">
        <v>34</v>
      </c>
      <c r="B66" s="35"/>
      <c r="C66" s="35"/>
      <c r="D66" s="35"/>
      <c r="E66" s="35"/>
    </row>
    <row r="67" spans="1:5" ht="18" customHeight="1" x14ac:dyDescent="0.3">
      <c r="A67" s="22" t="s">
        <v>108</v>
      </c>
      <c r="B67" s="22" t="s">
        <v>109</v>
      </c>
      <c r="C67" s="22" t="s">
        <v>110</v>
      </c>
      <c r="D67" s="22" t="s">
        <v>111</v>
      </c>
      <c r="E67" s="22" t="s">
        <v>112</v>
      </c>
    </row>
    <row r="68" spans="1:5" x14ac:dyDescent="0.3">
      <c r="A68" s="23">
        <v>76.990253441730857</v>
      </c>
      <c r="B68" s="23">
        <v>0</v>
      </c>
      <c r="C68" s="20">
        <v>0</v>
      </c>
      <c r="D68" s="20">
        <v>0</v>
      </c>
      <c r="E68" s="18">
        <v>0</v>
      </c>
    </row>
    <row r="69" spans="1:5" x14ac:dyDescent="0.3">
      <c r="A69" s="23">
        <v>7.6990253441730863</v>
      </c>
      <c r="B69" s="23">
        <v>4.6296296296296294E-3</v>
      </c>
      <c r="C69" s="20">
        <v>27.777777777777779</v>
      </c>
      <c r="D69" s="20">
        <v>27.777777777777779</v>
      </c>
      <c r="E69" s="18">
        <v>1</v>
      </c>
    </row>
    <row r="70" spans="1:5" x14ac:dyDescent="0.3">
      <c r="A70" s="23">
        <v>6.9166206422766976</v>
      </c>
      <c r="B70" s="23">
        <v>9.2592592592592587E-3</v>
      </c>
      <c r="C70" s="20">
        <v>38.888888888888893</v>
      </c>
      <c r="D70" s="20">
        <v>38.888888888888893</v>
      </c>
      <c r="E70" s="18">
        <v>2</v>
      </c>
    </row>
    <row r="71" spans="1:5" x14ac:dyDescent="0.3">
      <c r="A71" s="23">
        <v>6.213726929133311</v>
      </c>
      <c r="B71" s="23">
        <v>4.1666666666666657E-2</v>
      </c>
      <c r="C71" s="20">
        <v>51.388888888888893</v>
      </c>
      <c r="D71" s="20">
        <v>51.388888888888893</v>
      </c>
      <c r="E71" s="18">
        <v>9</v>
      </c>
    </row>
    <row r="72" spans="1:5" x14ac:dyDescent="0.3">
      <c r="A72" s="23">
        <v>5.582263990862355</v>
      </c>
      <c r="B72" s="23">
        <v>0.1018518518518518</v>
      </c>
      <c r="C72" s="20">
        <v>60.648148148148152</v>
      </c>
      <c r="D72" s="20">
        <v>60.648148148148152</v>
      </c>
      <c r="E72" s="18">
        <v>22</v>
      </c>
    </row>
    <row r="73" spans="1:5" x14ac:dyDescent="0.3">
      <c r="A73" s="23">
        <v>5.0149727561370216</v>
      </c>
      <c r="B73" s="23">
        <v>0.21759259259259259</v>
      </c>
      <c r="C73" s="20">
        <v>68.981481481481481</v>
      </c>
      <c r="D73" s="20">
        <v>68.981481481481481</v>
      </c>
      <c r="E73" s="18">
        <v>47</v>
      </c>
    </row>
    <row r="74" spans="1:5" x14ac:dyDescent="0.3">
      <c r="A74" s="23">
        <v>4.5053318485053166</v>
      </c>
      <c r="B74" s="23">
        <v>0.61574074074074081</v>
      </c>
      <c r="C74" s="20">
        <v>80.092592592592595</v>
      </c>
      <c r="D74" s="20">
        <v>80.092592592592595</v>
      </c>
      <c r="E74" s="18">
        <v>133</v>
      </c>
    </row>
    <row r="75" spans="1:5" x14ac:dyDescent="0.3">
      <c r="A75" s="23">
        <v>5.8807500640741472E-2</v>
      </c>
      <c r="B75" s="23">
        <v>1.041666666666667</v>
      </c>
      <c r="C75" s="20">
        <v>100</v>
      </c>
      <c r="D75" s="20">
        <v>100</v>
      </c>
      <c r="E75" s="18">
        <v>225</v>
      </c>
    </row>
    <row r="76" spans="1:5" x14ac:dyDescent="0.3">
      <c r="A76" s="23">
        <v>0.65459775991344704</v>
      </c>
      <c r="B76" s="23">
        <v>1.041666666666667</v>
      </c>
      <c r="C76" s="20">
        <v>100</v>
      </c>
      <c r="D76" s="20">
        <v>100</v>
      </c>
      <c r="E76" s="18">
        <v>225</v>
      </c>
    </row>
    <row r="77" spans="1:5" x14ac:dyDescent="0.3">
      <c r="A77" s="23">
        <v>0.58807500640741472</v>
      </c>
      <c r="B77" s="23">
        <v>1.041666666666667</v>
      </c>
      <c r="C77" s="20">
        <v>100</v>
      </c>
      <c r="D77" s="20">
        <v>100</v>
      </c>
      <c r="E77" s="18">
        <v>225</v>
      </c>
    </row>
    <row r="78" spans="1:5" x14ac:dyDescent="0.3">
      <c r="A78" s="23">
        <v>0.72864553435355817</v>
      </c>
      <c r="B78" s="23">
        <v>1.0601851851851849</v>
      </c>
      <c r="C78" s="20">
        <v>100</v>
      </c>
      <c r="D78" s="20">
        <v>100</v>
      </c>
      <c r="E78" s="18">
        <v>229</v>
      </c>
    </row>
    <row r="79" spans="1:5" x14ac:dyDescent="0.3">
      <c r="A79" s="23">
        <v>4.0474826189866802</v>
      </c>
      <c r="B79" s="23">
        <v>1.444444444444444</v>
      </c>
      <c r="C79" s="20">
        <v>100</v>
      </c>
      <c r="D79" s="20">
        <v>87.037037037037038</v>
      </c>
      <c r="E79" s="18">
        <v>312</v>
      </c>
    </row>
    <row r="80" spans="1:5" x14ac:dyDescent="0.3">
      <c r="A80" s="23">
        <v>0.81106955636936917</v>
      </c>
      <c r="B80" s="23">
        <v>1.6898148148148151</v>
      </c>
      <c r="C80" s="20">
        <v>100</v>
      </c>
      <c r="D80" s="20">
        <v>100</v>
      </c>
      <c r="E80" s="18">
        <v>365</v>
      </c>
    </row>
    <row r="81" spans="1:5" x14ac:dyDescent="0.3">
      <c r="A81" s="23">
        <v>3.636161797145796</v>
      </c>
      <c r="B81" s="23">
        <v>3.2268518518518521</v>
      </c>
      <c r="C81" s="20">
        <v>100</v>
      </c>
      <c r="D81" s="20">
        <v>91.203703703703709</v>
      </c>
      <c r="E81" s="18">
        <v>697</v>
      </c>
    </row>
    <row r="82" spans="1:5" x14ac:dyDescent="0.3">
      <c r="A82" s="23">
        <v>3.2666409864244699</v>
      </c>
      <c r="B82" s="23">
        <v>7.1157407407407414</v>
      </c>
      <c r="C82" s="20">
        <v>100</v>
      </c>
      <c r="D82" s="20">
        <v>93.981481481481481</v>
      </c>
      <c r="E82" s="18">
        <v>1537</v>
      </c>
    </row>
    <row r="83" spans="1:5" x14ac:dyDescent="0.3">
      <c r="A83" s="23">
        <v>0.902817342938668</v>
      </c>
      <c r="B83" s="23">
        <v>9.2037037037037024</v>
      </c>
      <c r="C83" s="20">
        <v>100</v>
      </c>
      <c r="D83" s="20">
        <v>100</v>
      </c>
      <c r="E83" s="18">
        <v>1988</v>
      </c>
    </row>
    <row r="84" spans="1:5" x14ac:dyDescent="0.3">
      <c r="A84" s="23">
        <v>2.9346723081916721</v>
      </c>
      <c r="B84" s="23">
        <v>14.81481481481482</v>
      </c>
      <c r="C84" s="20">
        <v>100</v>
      </c>
      <c r="D84" s="20">
        <v>96.296296296296291</v>
      </c>
      <c r="E84" s="18">
        <v>3200</v>
      </c>
    </row>
    <row r="85" spans="1:5" x14ac:dyDescent="0.3">
      <c r="A85" s="23">
        <v>2.636439569655221</v>
      </c>
      <c r="B85" s="23">
        <v>30.226851851851851</v>
      </c>
      <c r="C85" s="20">
        <v>100</v>
      </c>
      <c r="D85" s="20">
        <v>97.222222222222214</v>
      </c>
      <c r="E85" s="18">
        <v>6529</v>
      </c>
    </row>
    <row r="86" spans="1:5" x14ac:dyDescent="0.3">
      <c r="A86" s="23">
        <v>1</v>
      </c>
      <c r="B86" s="23">
        <v>42.754629629629633</v>
      </c>
      <c r="C86" s="20">
        <v>100</v>
      </c>
      <c r="D86" s="20">
        <v>100</v>
      </c>
      <c r="E86" s="18">
        <v>9235</v>
      </c>
    </row>
    <row r="87" spans="1:5" x14ac:dyDescent="0.3">
      <c r="A87" s="23">
        <v>1.0049435936905531</v>
      </c>
      <c r="B87" s="23">
        <v>45.5</v>
      </c>
      <c r="C87" s="20">
        <v>100</v>
      </c>
      <c r="D87" s="20">
        <v>100</v>
      </c>
      <c r="E87" s="18">
        <v>9828</v>
      </c>
    </row>
    <row r="88" spans="1:5" x14ac:dyDescent="0.3">
      <c r="A88" s="23">
        <v>2.3685143942789502</v>
      </c>
      <c r="B88" s="23">
        <v>56.800925925925917</v>
      </c>
      <c r="C88" s="20">
        <v>100</v>
      </c>
      <c r="D88" s="20">
        <v>98.611111111111114</v>
      </c>
      <c r="E88" s="18">
        <v>12269</v>
      </c>
    </row>
    <row r="89" spans="1:5" x14ac:dyDescent="0.3">
      <c r="A89" s="23">
        <v>2.127816810396383</v>
      </c>
      <c r="B89" s="23">
        <v>99.819444444444443</v>
      </c>
      <c r="C89" s="20">
        <v>100</v>
      </c>
      <c r="D89" s="20">
        <v>99.537037037037038</v>
      </c>
      <c r="E89" s="18">
        <v>21561</v>
      </c>
    </row>
    <row r="90" spans="1:5" x14ac:dyDescent="0.3">
      <c r="A90" s="23">
        <v>1.1186223153538719</v>
      </c>
      <c r="B90" s="23">
        <v>128.00462962962959</v>
      </c>
      <c r="C90" s="20">
        <v>100</v>
      </c>
      <c r="D90" s="20">
        <v>100</v>
      </c>
      <c r="E90" s="18">
        <v>27649</v>
      </c>
    </row>
    <row r="91" spans="1:5" x14ac:dyDescent="0.3">
      <c r="A91" s="23">
        <v>1.911579844961752</v>
      </c>
      <c r="B91" s="23">
        <v>160.2222222222222</v>
      </c>
      <c r="C91" s="20">
        <v>100</v>
      </c>
      <c r="D91" s="20">
        <v>100</v>
      </c>
      <c r="E91" s="18">
        <v>34608</v>
      </c>
    </row>
    <row r="92" spans="1:5" x14ac:dyDescent="0.3">
      <c r="A92" s="23">
        <v>1.245160317717263</v>
      </c>
      <c r="B92" s="23">
        <v>229.79166666666671</v>
      </c>
      <c r="C92" s="20">
        <v>100</v>
      </c>
      <c r="D92" s="20">
        <v>100</v>
      </c>
      <c r="E92" s="18">
        <v>49635</v>
      </c>
    </row>
    <row r="93" spans="1:5" x14ac:dyDescent="0.3">
      <c r="A93" s="23">
        <v>1.717317715420851</v>
      </c>
      <c r="B93" s="23">
        <v>230.19444444444451</v>
      </c>
      <c r="C93" s="20">
        <v>100</v>
      </c>
      <c r="D93" s="20">
        <v>100</v>
      </c>
      <c r="E93" s="18">
        <v>49722</v>
      </c>
    </row>
    <row r="94" spans="1:5" x14ac:dyDescent="0.3">
      <c r="A94" s="23">
        <v>1.5427972540468471</v>
      </c>
      <c r="B94" s="23">
        <v>284.08796296296288</v>
      </c>
      <c r="C94" s="20">
        <v>100</v>
      </c>
      <c r="D94" s="20">
        <v>100</v>
      </c>
      <c r="E94" s="18">
        <v>61363</v>
      </c>
    </row>
    <row r="95" spans="1:5" x14ac:dyDescent="0.3">
      <c r="A95" s="23">
        <v>1.386012236245515</v>
      </c>
      <c r="B95" s="23">
        <v>289.93981481481478</v>
      </c>
      <c r="C95" s="20">
        <v>100</v>
      </c>
      <c r="D95" s="20">
        <v>100</v>
      </c>
      <c r="E95" s="18">
        <v>62627</v>
      </c>
    </row>
    <row r="97" spans="1:5" ht="22.05" customHeight="1" x14ac:dyDescent="0.3">
      <c r="A97" s="41" t="s">
        <v>36</v>
      </c>
      <c r="B97" s="35"/>
      <c r="C97" s="35"/>
      <c r="D97" s="35"/>
      <c r="E97" s="35"/>
    </row>
    <row r="98" spans="1:5" ht="18" customHeight="1" x14ac:dyDescent="0.3">
      <c r="A98" s="22" t="s">
        <v>108</v>
      </c>
      <c r="B98" s="22" t="s">
        <v>109</v>
      </c>
      <c r="C98" s="22" t="s">
        <v>110</v>
      </c>
      <c r="D98" s="22" t="s">
        <v>111</v>
      </c>
      <c r="E98" s="22" t="s">
        <v>112</v>
      </c>
    </row>
    <row r="99" spans="1:5" x14ac:dyDescent="0.3">
      <c r="A99" s="23">
        <v>91.119293596463365</v>
      </c>
      <c r="B99" s="23">
        <v>0</v>
      </c>
      <c r="C99" s="20">
        <v>0</v>
      </c>
      <c r="D99" s="20">
        <v>0</v>
      </c>
      <c r="E99" s="18">
        <v>0</v>
      </c>
    </row>
    <row r="100" spans="1:5" x14ac:dyDescent="0.3">
      <c r="A100" s="23">
        <v>9.1119293596463358</v>
      </c>
      <c r="B100" s="23">
        <v>4.6296296296296294E-3</v>
      </c>
      <c r="C100" s="20">
        <v>27.777777777777779</v>
      </c>
      <c r="D100" s="20">
        <v>27.777777777777779</v>
      </c>
      <c r="E100" s="18">
        <v>1</v>
      </c>
    </row>
    <row r="101" spans="1:5" x14ac:dyDescent="0.3">
      <c r="A101" s="23">
        <v>8.0915943453346699</v>
      </c>
      <c r="B101" s="23">
        <v>3.2407407407407413E-2</v>
      </c>
      <c r="C101" s="20">
        <v>36.111111111111107</v>
      </c>
      <c r="D101" s="20">
        <v>36.111111111111107</v>
      </c>
      <c r="E101" s="18">
        <v>7</v>
      </c>
    </row>
    <row r="102" spans="1:5" x14ac:dyDescent="0.3">
      <c r="A102" s="23">
        <v>7.185514336778537</v>
      </c>
      <c r="B102" s="23">
        <v>6.4814814814814825E-2</v>
      </c>
      <c r="C102" s="20">
        <v>46.296296296296298</v>
      </c>
      <c r="D102" s="20">
        <v>46.296296296296298</v>
      </c>
      <c r="E102" s="18">
        <v>14</v>
      </c>
    </row>
    <row r="103" spans="1:5" x14ac:dyDescent="0.3">
      <c r="A103" s="23">
        <v>6.3808952946113608</v>
      </c>
      <c r="B103" s="23">
        <v>0.28703703703703698</v>
      </c>
      <c r="C103" s="20">
        <v>56.944444444444443</v>
      </c>
      <c r="D103" s="20">
        <v>56.944444444444443</v>
      </c>
      <c r="E103" s="18">
        <v>62</v>
      </c>
    </row>
    <row r="104" spans="1:5" x14ac:dyDescent="0.3">
      <c r="A104" s="23">
        <v>5.6663758295481248</v>
      </c>
      <c r="B104" s="23">
        <v>0.68055555555555558</v>
      </c>
      <c r="C104" s="20">
        <v>65.277777777777786</v>
      </c>
      <c r="D104" s="20">
        <v>65.277777777777786</v>
      </c>
      <c r="E104" s="18">
        <v>147</v>
      </c>
    </row>
    <row r="105" spans="1:5" x14ac:dyDescent="0.3">
      <c r="A105" s="23">
        <v>5.2696350196811383E-2</v>
      </c>
      <c r="B105" s="23">
        <v>1.041666666666667</v>
      </c>
      <c r="C105" s="20">
        <v>100</v>
      </c>
      <c r="D105" s="20">
        <v>100</v>
      </c>
      <c r="E105" s="18">
        <v>225</v>
      </c>
    </row>
    <row r="106" spans="1:5" x14ac:dyDescent="0.3">
      <c r="A106" s="23">
        <v>0.5269635019681137</v>
      </c>
      <c r="B106" s="23">
        <v>1.041666666666667</v>
      </c>
      <c r="C106" s="20">
        <v>100</v>
      </c>
      <c r="D106" s="20">
        <v>100</v>
      </c>
      <c r="E106" s="18">
        <v>225</v>
      </c>
    </row>
    <row r="107" spans="1:5" x14ac:dyDescent="0.3">
      <c r="A107" s="23">
        <v>0.5934126205688709</v>
      </c>
      <c r="B107" s="23">
        <v>1.041666666666667</v>
      </c>
      <c r="C107" s="20">
        <v>100</v>
      </c>
      <c r="D107" s="20">
        <v>100</v>
      </c>
      <c r="E107" s="18">
        <v>225</v>
      </c>
    </row>
    <row r="108" spans="1:5" x14ac:dyDescent="0.3">
      <c r="A108" s="23">
        <v>0.66824084957542751</v>
      </c>
      <c r="B108" s="23">
        <v>1.050925925925926</v>
      </c>
      <c r="C108" s="20">
        <v>100</v>
      </c>
      <c r="D108" s="20">
        <v>100</v>
      </c>
      <c r="E108" s="18">
        <v>227</v>
      </c>
    </row>
    <row r="109" spans="1:5" x14ac:dyDescent="0.3">
      <c r="A109" s="23">
        <v>0.75250477924316994</v>
      </c>
      <c r="B109" s="23">
        <v>1.4212962962962961</v>
      </c>
      <c r="C109" s="20">
        <v>100</v>
      </c>
      <c r="D109" s="20">
        <v>100</v>
      </c>
      <c r="E109" s="18">
        <v>307</v>
      </c>
    </row>
    <row r="110" spans="1:5" x14ac:dyDescent="0.3">
      <c r="A110" s="23">
        <v>5.03186677719067</v>
      </c>
      <c r="B110" s="23">
        <v>1.532407407407407</v>
      </c>
      <c r="C110" s="20">
        <v>100</v>
      </c>
      <c r="D110" s="20">
        <v>80.092592592592595</v>
      </c>
      <c r="E110" s="18">
        <v>331</v>
      </c>
    </row>
    <row r="111" spans="1:5" x14ac:dyDescent="0.3">
      <c r="A111" s="23">
        <v>4.4684087369147187</v>
      </c>
      <c r="B111" s="23">
        <v>3.4537037037037042</v>
      </c>
      <c r="C111" s="20">
        <v>100</v>
      </c>
      <c r="D111" s="20">
        <v>87.037037037037038</v>
      </c>
      <c r="E111" s="18">
        <v>746</v>
      </c>
    </row>
    <row r="112" spans="1:5" x14ac:dyDescent="0.3">
      <c r="A112" s="23">
        <v>0.84739423389574609</v>
      </c>
      <c r="B112" s="23">
        <v>4.5509259259259256</v>
      </c>
      <c r="C112" s="20">
        <v>100</v>
      </c>
      <c r="D112" s="20">
        <v>100</v>
      </c>
      <c r="E112" s="18">
        <v>983</v>
      </c>
    </row>
    <row r="113" spans="1:5" x14ac:dyDescent="0.3">
      <c r="A113" s="23">
        <v>3.9680455632578049</v>
      </c>
      <c r="B113" s="23">
        <v>7.041666666666667</v>
      </c>
      <c r="C113" s="20">
        <v>100</v>
      </c>
      <c r="D113" s="20">
        <v>92.592592592592595</v>
      </c>
      <c r="E113" s="18">
        <v>1521</v>
      </c>
    </row>
    <row r="114" spans="1:5" x14ac:dyDescent="0.3">
      <c r="A114" s="23">
        <v>3.5237120234801069</v>
      </c>
      <c r="B114" s="23">
        <v>14.50462962962963</v>
      </c>
      <c r="C114" s="20">
        <v>100</v>
      </c>
      <c r="D114" s="20">
        <v>94.444444444444443</v>
      </c>
      <c r="E114" s="18">
        <v>3133</v>
      </c>
    </row>
    <row r="115" spans="1:5" x14ac:dyDescent="0.3">
      <c r="A115" s="23">
        <v>0.95424907249354984</v>
      </c>
      <c r="B115" s="23">
        <v>22.032407407407401</v>
      </c>
      <c r="C115" s="20">
        <v>100</v>
      </c>
      <c r="D115" s="20">
        <v>100</v>
      </c>
      <c r="E115" s="18">
        <v>4759</v>
      </c>
    </row>
    <row r="116" spans="1:5" x14ac:dyDescent="0.3">
      <c r="A116" s="23">
        <v>3.1291340349993768</v>
      </c>
      <c r="B116" s="23">
        <v>28.5</v>
      </c>
      <c r="C116" s="20">
        <v>100</v>
      </c>
      <c r="D116" s="20">
        <v>96.759259259259252</v>
      </c>
      <c r="E116" s="18">
        <v>6156</v>
      </c>
    </row>
    <row r="117" spans="1:5" x14ac:dyDescent="0.3">
      <c r="A117" s="23">
        <v>1</v>
      </c>
      <c r="B117" s="23">
        <v>36.847222222222221</v>
      </c>
      <c r="C117" s="20">
        <v>100</v>
      </c>
      <c r="D117" s="20">
        <v>100</v>
      </c>
      <c r="E117" s="18">
        <v>7959</v>
      </c>
    </row>
    <row r="118" spans="1:5" x14ac:dyDescent="0.3">
      <c r="A118" s="23">
        <v>2.7787400740316932</v>
      </c>
      <c r="B118" s="23">
        <v>53.277777777777779</v>
      </c>
      <c r="C118" s="20">
        <v>100</v>
      </c>
      <c r="D118" s="20">
        <v>98.148148148148152</v>
      </c>
      <c r="E118" s="18">
        <v>11508</v>
      </c>
    </row>
    <row r="119" spans="1:5" x14ac:dyDescent="0.3">
      <c r="A119" s="23">
        <v>1.074578107722679</v>
      </c>
      <c r="B119" s="23">
        <v>73.25</v>
      </c>
      <c r="C119" s="20">
        <v>100</v>
      </c>
      <c r="D119" s="20">
        <v>100</v>
      </c>
      <c r="E119" s="18">
        <v>15822</v>
      </c>
    </row>
    <row r="120" spans="1:5" x14ac:dyDescent="0.3">
      <c r="A120" s="23">
        <v>2.4675825045094939</v>
      </c>
      <c r="B120" s="23">
        <v>92.472222222222229</v>
      </c>
      <c r="C120" s="20">
        <v>100</v>
      </c>
      <c r="D120" s="20">
        <v>99.074074074074076</v>
      </c>
      <c r="E120" s="18">
        <v>19974</v>
      </c>
    </row>
    <row r="121" spans="1:5" x14ac:dyDescent="0.3">
      <c r="A121" s="23">
        <v>2.1912677164247421</v>
      </c>
      <c r="B121" s="23">
        <v>149.81018518518519</v>
      </c>
      <c r="C121" s="20">
        <v>100</v>
      </c>
      <c r="D121" s="20">
        <v>100</v>
      </c>
      <c r="E121" s="18">
        <v>32359</v>
      </c>
    </row>
    <row r="122" spans="1:5" x14ac:dyDescent="0.3">
      <c r="A122" s="23">
        <v>1.2100804107458629</v>
      </c>
      <c r="B122" s="23">
        <v>160.25</v>
      </c>
      <c r="C122" s="20">
        <v>100</v>
      </c>
      <c r="D122" s="20">
        <v>100</v>
      </c>
      <c r="E122" s="18">
        <v>34614</v>
      </c>
    </row>
    <row r="123" spans="1:5" x14ac:dyDescent="0.3">
      <c r="A123" s="23">
        <v>1.9458940871360151</v>
      </c>
      <c r="B123" s="23">
        <v>217.03703703703701</v>
      </c>
      <c r="C123" s="20">
        <v>100</v>
      </c>
      <c r="D123" s="20">
        <v>100</v>
      </c>
      <c r="E123" s="18">
        <v>46880</v>
      </c>
    </row>
    <row r="124" spans="1:5" x14ac:dyDescent="0.3">
      <c r="A124" s="23">
        <v>1.362669302442902</v>
      </c>
      <c r="B124" s="23">
        <v>250.78703703703709</v>
      </c>
      <c r="C124" s="20">
        <v>100</v>
      </c>
      <c r="D124" s="20">
        <v>100</v>
      </c>
      <c r="E124" s="18">
        <v>54170</v>
      </c>
    </row>
    <row r="125" spans="1:5" x14ac:dyDescent="0.3">
      <c r="A125" s="23">
        <v>1.7279968896401849</v>
      </c>
      <c r="B125" s="23">
        <v>276.53703703703712</v>
      </c>
      <c r="C125" s="20">
        <v>100</v>
      </c>
      <c r="D125" s="20">
        <v>100</v>
      </c>
      <c r="E125" s="18">
        <v>59732</v>
      </c>
    </row>
    <row r="126" spans="1:5" x14ac:dyDescent="0.3">
      <c r="A126" s="23">
        <v>1.5344993699019549</v>
      </c>
      <c r="B126" s="23">
        <v>293.71296296296288</v>
      </c>
      <c r="C126" s="20">
        <v>100</v>
      </c>
      <c r="D126" s="20">
        <v>100</v>
      </c>
      <c r="E126" s="18">
        <v>63442</v>
      </c>
    </row>
    <row r="128" spans="1:5" ht="22.05" customHeight="1" x14ac:dyDescent="0.3">
      <c r="A128" s="41" t="s">
        <v>38</v>
      </c>
      <c r="B128" s="35"/>
      <c r="C128" s="35"/>
      <c r="D128" s="35"/>
      <c r="E128" s="35"/>
    </row>
    <row r="129" spans="1:5" ht="18" customHeight="1" x14ac:dyDescent="0.3">
      <c r="A129" s="22" t="s">
        <v>108</v>
      </c>
      <c r="B129" s="22" t="s">
        <v>109</v>
      </c>
      <c r="C129" s="22" t="s">
        <v>110</v>
      </c>
      <c r="D129" s="22" t="s">
        <v>111</v>
      </c>
      <c r="E129" s="22" t="s">
        <v>112</v>
      </c>
    </row>
    <row r="130" spans="1:5" x14ac:dyDescent="0.3">
      <c r="A130" s="23">
        <v>22.247483480329869</v>
      </c>
      <c r="B130" s="23">
        <v>0</v>
      </c>
      <c r="C130" s="20">
        <v>0</v>
      </c>
      <c r="D130" s="20">
        <v>0</v>
      </c>
      <c r="E130" s="18">
        <v>0</v>
      </c>
    </row>
    <row r="131" spans="1:5" x14ac:dyDescent="0.3">
      <c r="A131" s="23">
        <v>2.2247483480329868</v>
      </c>
      <c r="B131" s="23">
        <v>0.1759259259259259</v>
      </c>
      <c r="C131" s="20">
        <v>3.7037037037037028</v>
      </c>
      <c r="D131" s="20">
        <v>3.7037037037037028</v>
      </c>
      <c r="E131" s="18">
        <v>38</v>
      </c>
    </row>
    <row r="132" spans="1:5" x14ac:dyDescent="0.3">
      <c r="A132" s="23">
        <v>1</v>
      </c>
      <c r="B132" s="23">
        <v>16.578703703703709</v>
      </c>
      <c r="C132" s="20">
        <v>86.574074074074076</v>
      </c>
      <c r="D132" s="20">
        <v>86.574074074074076</v>
      </c>
      <c r="E132" s="18">
        <v>3581</v>
      </c>
    </row>
    <row r="133" spans="1:5" x14ac:dyDescent="0.3">
      <c r="A133" s="23">
        <v>0.78042201301390846</v>
      </c>
      <c r="B133" s="23">
        <v>20.717592592592599</v>
      </c>
      <c r="C133" s="20">
        <v>87.5</v>
      </c>
      <c r="D133" s="20">
        <v>87.5</v>
      </c>
      <c r="E133" s="18">
        <v>4475</v>
      </c>
    </row>
    <row r="134" spans="1:5" x14ac:dyDescent="0.3">
      <c r="A134" s="23">
        <v>0.46222541366072739</v>
      </c>
      <c r="B134" s="23">
        <v>24.861111111111111</v>
      </c>
      <c r="C134" s="20">
        <v>88.888888888888886</v>
      </c>
      <c r="D134" s="20">
        <v>88.888888888888886</v>
      </c>
      <c r="E134" s="18">
        <v>5370</v>
      </c>
    </row>
    <row r="135" spans="1:5" x14ac:dyDescent="0.3">
      <c r="A135" s="23">
        <v>0.27376512895725102</v>
      </c>
      <c r="B135" s="23">
        <v>26.93981481481482</v>
      </c>
      <c r="C135" s="20">
        <v>91.203703703703709</v>
      </c>
      <c r="D135" s="20">
        <v>91.203703703703709</v>
      </c>
      <c r="E135" s="18">
        <v>5819</v>
      </c>
    </row>
    <row r="136" spans="1:5" x14ac:dyDescent="0.3">
      <c r="A136" s="23">
        <v>0.1621445805833418</v>
      </c>
      <c r="B136" s="23">
        <v>29.078703703703699</v>
      </c>
      <c r="C136" s="20">
        <v>92.592592592592595</v>
      </c>
      <c r="D136" s="20">
        <v>92.592592592592595</v>
      </c>
      <c r="E136" s="18">
        <v>6281</v>
      </c>
    </row>
    <row r="137" spans="1:5" x14ac:dyDescent="0.3">
      <c r="A137" s="23">
        <v>9.6034382146066674E-2</v>
      </c>
      <c r="B137" s="23">
        <v>33.995370370370367</v>
      </c>
      <c r="C137" s="20">
        <v>94.444444444444443</v>
      </c>
      <c r="D137" s="20">
        <v>94.444444444444443</v>
      </c>
      <c r="E137" s="18">
        <v>7343</v>
      </c>
    </row>
    <row r="138" spans="1:5" x14ac:dyDescent="0.3">
      <c r="A138" s="23">
        <v>1.317665581329827</v>
      </c>
      <c r="B138" s="23">
        <v>36.898148148148152</v>
      </c>
      <c r="C138" s="20">
        <v>94.444444444444443</v>
      </c>
      <c r="D138" s="20">
        <v>73.148148148148152</v>
      </c>
      <c r="E138" s="18">
        <v>7970</v>
      </c>
    </row>
    <row r="139" spans="1:5" x14ac:dyDescent="0.3">
      <c r="A139" s="23">
        <v>5.6878882544189387E-2</v>
      </c>
      <c r="B139" s="23">
        <v>39.43518518518519</v>
      </c>
      <c r="C139" s="20">
        <v>94.907407407407405</v>
      </c>
      <c r="D139" s="20">
        <v>94.907407407407405</v>
      </c>
      <c r="E139" s="18">
        <v>8518</v>
      </c>
    </row>
    <row r="140" spans="1:5" x14ac:dyDescent="0.3">
      <c r="A140" s="23">
        <v>3.3688010556000673E-2</v>
      </c>
      <c r="B140" s="23">
        <v>44.43981481481481</v>
      </c>
      <c r="C140" s="20">
        <v>96.296296296296291</v>
      </c>
      <c r="D140" s="20">
        <v>96.296296296296291</v>
      </c>
      <c r="E140" s="18">
        <v>9599</v>
      </c>
    </row>
    <row r="141" spans="1:5" x14ac:dyDescent="0.3">
      <c r="A141" s="23">
        <v>1.9952608146609051E-2</v>
      </c>
      <c r="B141" s="23">
        <v>48.81481481481481</v>
      </c>
      <c r="C141" s="20">
        <v>96.296296296296291</v>
      </c>
      <c r="D141" s="20">
        <v>96.296296296296291</v>
      </c>
      <c r="E141" s="18">
        <v>10544</v>
      </c>
    </row>
    <row r="142" spans="1:5" x14ac:dyDescent="0.3">
      <c r="A142" s="23">
        <v>1.1817455684726291E-2</v>
      </c>
      <c r="B142" s="23">
        <v>54.106481481481481</v>
      </c>
      <c r="C142" s="20">
        <v>98.148148148148152</v>
      </c>
      <c r="D142" s="20">
        <v>98.148148148148152</v>
      </c>
      <c r="E142" s="18">
        <v>11687</v>
      </c>
    </row>
    <row r="143" spans="1:5" x14ac:dyDescent="0.3">
      <c r="A143" s="23">
        <v>8.6128230964024714E-4</v>
      </c>
      <c r="B143" s="23">
        <v>55.069444444444443</v>
      </c>
      <c r="C143" s="20">
        <v>99.074074074074076</v>
      </c>
      <c r="D143" s="20">
        <v>99.074074074074076</v>
      </c>
      <c r="E143" s="18">
        <v>11895</v>
      </c>
    </row>
    <row r="144" spans="1:5" x14ac:dyDescent="0.3">
      <c r="A144" s="23">
        <v>5.1011704592324745E-4</v>
      </c>
      <c r="B144" s="23">
        <v>55.106481481481481</v>
      </c>
      <c r="C144" s="20">
        <v>99.074074074074076</v>
      </c>
      <c r="D144" s="20">
        <v>99.074074074074076</v>
      </c>
      <c r="E144" s="18">
        <v>11903</v>
      </c>
    </row>
    <row r="145" spans="1:5" x14ac:dyDescent="0.3">
      <c r="A145" s="23">
        <v>2.455256724707513E-3</v>
      </c>
      <c r="B145" s="23">
        <v>55.462962962962962</v>
      </c>
      <c r="C145" s="20">
        <v>99.074074074074076</v>
      </c>
      <c r="D145" s="20">
        <v>99.074074074074076</v>
      </c>
      <c r="E145" s="18">
        <v>11980</v>
      </c>
    </row>
    <row r="146" spans="1:5" x14ac:dyDescent="0.3">
      <c r="A146" s="23">
        <v>1.4541902154174449E-3</v>
      </c>
      <c r="B146" s="23">
        <v>55.481481481481481</v>
      </c>
      <c r="C146" s="20">
        <v>99.074074074074076</v>
      </c>
      <c r="D146" s="20">
        <v>99.074074074074076</v>
      </c>
      <c r="E146" s="18">
        <v>11984</v>
      </c>
    </row>
    <row r="147" spans="1:5" x14ac:dyDescent="0.3">
      <c r="A147" s="23">
        <v>3.0213020472944922E-4</v>
      </c>
      <c r="B147" s="23">
        <v>55.962962962962962</v>
      </c>
      <c r="C147" s="20">
        <v>99.074074074074076</v>
      </c>
      <c r="D147" s="20">
        <v>99.074074074074076</v>
      </c>
      <c r="E147" s="18">
        <v>12088</v>
      </c>
    </row>
    <row r="148" spans="1:5" x14ac:dyDescent="0.3">
      <c r="A148" s="23">
        <v>1.789445409428513E-4</v>
      </c>
      <c r="B148" s="23">
        <v>56.504629629629633</v>
      </c>
      <c r="C148" s="20">
        <v>99.074074074074076</v>
      </c>
      <c r="D148" s="20">
        <v>99.074074074074076</v>
      </c>
      <c r="E148" s="18">
        <v>12205</v>
      </c>
    </row>
    <row r="149" spans="1:5" x14ac:dyDescent="0.3">
      <c r="A149" s="23">
        <v>4.1454587716992499E-3</v>
      </c>
      <c r="B149" s="23">
        <v>56.787037037037038</v>
      </c>
      <c r="C149" s="20">
        <v>99.074074074074076</v>
      </c>
      <c r="D149" s="20">
        <v>99.074074074074076</v>
      </c>
      <c r="E149" s="18">
        <v>12266</v>
      </c>
    </row>
    <row r="150" spans="1:5" x14ac:dyDescent="0.3">
      <c r="A150" s="23">
        <v>1.059845994607589E-4</v>
      </c>
      <c r="B150" s="23">
        <v>57.032407407407398</v>
      </c>
      <c r="C150" s="20">
        <v>99.074074074074076</v>
      </c>
      <c r="D150" s="20">
        <v>99.074074074074076</v>
      </c>
      <c r="E150" s="18">
        <v>12319</v>
      </c>
    </row>
    <row r="151" spans="1:5" x14ac:dyDescent="0.3">
      <c r="A151" s="23">
        <v>6.277215981930883E-5</v>
      </c>
      <c r="B151" s="23">
        <v>57.444444444444443</v>
      </c>
      <c r="C151" s="20">
        <v>99.074074074074076</v>
      </c>
      <c r="D151" s="20">
        <v>99.074074074074076</v>
      </c>
      <c r="E151" s="18">
        <v>12408</v>
      </c>
    </row>
    <row r="152" spans="1:5" x14ac:dyDescent="0.3">
      <c r="A152" s="23">
        <v>3.7178458648039397E-5</v>
      </c>
      <c r="B152" s="23">
        <v>57.611111111111107</v>
      </c>
      <c r="C152" s="20">
        <v>99.074074074074076</v>
      </c>
      <c r="D152" s="20">
        <v>99.074074074074076</v>
      </c>
      <c r="E152" s="18">
        <v>12444</v>
      </c>
    </row>
    <row r="153" spans="1:5" x14ac:dyDescent="0.3">
      <c r="A153" s="23">
        <v>2.201991761033522E-5</v>
      </c>
      <c r="B153" s="23">
        <v>57.777777777777779</v>
      </c>
      <c r="C153" s="20">
        <v>99.074074074074076</v>
      </c>
      <c r="D153" s="20">
        <v>99.074074074074076</v>
      </c>
      <c r="E153" s="18">
        <v>12480</v>
      </c>
    </row>
    <row r="154" spans="1:5" x14ac:dyDescent="0.3">
      <c r="A154" s="23">
        <v>1.304187395599634E-5</v>
      </c>
      <c r="B154" s="23">
        <v>57.949074074074069</v>
      </c>
      <c r="C154" s="20">
        <v>99.074074074074076</v>
      </c>
      <c r="D154" s="20">
        <v>99.074074074074076</v>
      </c>
      <c r="E154" s="18">
        <v>12517</v>
      </c>
    </row>
    <row r="155" spans="1:5" x14ac:dyDescent="0.3">
      <c r="A155" s="23">
        <v>7.7243920387904649E-6</v>
      </c>
      <c r="B155" s="23">
        <v>58.027777777777779</v>
      </c>
      <c r="C155" s="20">
        <v>99.074074074074076</v>
      </c>
      <c r="D155" s="20">
        <v>99.074074074074076</v>
      </c>
      <c r="E155" s="18">
        <v>12534</v>
      </c>
    </row>
    <row r="156" spans="1:5" x14ac:dyDescent="0.3">
      <c r="A156" s="23">
        <v>6.9991981917513794E-3</v>
      </c>
      <c r="B156" s="23">
        <v>58.092592592592602</v>
      </c>
      <c r="C156" s="20">
        <v>99.074074074074076</v>
      </c>
      <c r="D156" s="20">
        <v>99.074074074074076</v>
      </c>
      <c r="E156" s="18">
        <v>12548</v>
      </c>
    </row>
    <row r="157" spans="1:5" x14ac:dyDescent="0.3">
      <c r="A157" s="23">
        <v>7.72439203879047E-7</v>
      </c>
      <c r="B157" s="23">
        <v>58.240740740740733</v>
      </c>
      <c r="C157" s="20">
        <v>99.074074074074076</v>
      </c>
      <c r="D157" s="20">
        <v>99.074074074074076</v>
      </c>
      <c r="E157" s="18">
        <v>12580</v>
      </c>
    </row>
  </sheetData>
  <mergeCells count="7">
    <mergeCell ref="A1:H1"/>
    <mergeCell ref="A35:E35"/>
    <mergeCell ref="A4:E4"/>
    <mergeCell ref="A2:H2"/>
    <mergeCell ref="A128:E128"/>
    <mergeCell ref="A66:E66"/>
    <mergeCell ref="A97:E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7"/>
  <sheetViews>
    <sheetView workbookViewId="0">
      <selection sqref="A1:H1"/>
    </sheetView>
  </sheetViews>
  <sheetFormatPr defaultRowHeight="14.4" x14ac:dyDescent="0.3"/>
  <cols>
    <col min="1" max="2" width="22" customWidth="1"/>
    <col min="3" max="4" width="20" customWidth="1"/>
    <col min="5" max="5" width="19" customWidth="1"/>
    <col min="6" max="8" width="12" customWidth="1"/>
  </cols>
  <sheetData>
    <row r="1" spans="1:8" ht="17.399999999999999" x14ac:dyDescent="0.3">
      <c r="A1" s="39" t="s">
        <v>115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107</v>
      </c>
      <c r="B2" s="35"/>
      <c r="C2" s="35"/>
      <c r="D2" s="35"/>
      <c r="E2" s="35"/>
      <c r="F2" s="35"/>
      <c r="G2" s="35"/>
      <c r="H2" s="35"/>
    </row>
    <row r="4" spans="1:8" ht="22.05" customHeight="1" x14ac:dyDescent="0.3">
      <c r="A4" s="41" t="s">
        <v>30</v>
      </c>
      <c r="B4" s="35"/>
      <c r="C4" s="35"/>
      <c r="D4" s="35"/>
      <c r="E4" s="35"/>
    </row>
    <row r="5" spans="1:8" ht="18" customHeight="1" x14ac:dyDescent="0.3">
      <c r="A5" s="22" t="s">
        <v>108</v>
      </c>
      <c r="B5" s="22" t="s">
        <v>109</v>
      </c>
      <c r="C5" s="22" t="s">
        <v>110</v>
      </c>
      <c r="D5" s="22" t="s">
        <v>111</v>
      </c>
      <c r="E5" s="22" t="s">
        <v>112</v>
      </c>
    </row>
    <row r="6" spans="1:8" x14ac:dyDescent="0.3">
      <c r="A6" s="23">
        <v>0.51567282782220059</v>
      </c>
      <c r="B6" s="23">
        <v>0</v>
      </c>
      <c r="C6" s="20">
        <v>100</v>
      </c>
      <c r="D6" s="20">
        <v>100</v>
      </c>
      <c r="E6" s="18">
        <v>0</v>
      </c>
    </row>
    <row r="7" spans="1:8" x14ac:dyDescent="0.3">
      <c r="A7" s="23">
        <v>0.45721235068048499</v>
      </c>
      <c r="B7" s="23">
        <v>0</v>
      </c>
      <c r="C7" s="20">
        <v>100</v>
      </c>
      <c r="D7" s="20">
        <v>100</v>
      </c>
      <c r="E7" s="18">
        <v>0</v>
      </c>
    </row>
    <row r="8" spans="1:8" x14ac:dyDescent="0.3">
      <c r="A8" s="23">
        <v>1</v>
      </c>
      <c r="B8" s="23">
        <v>0</v>
      </c>
      <c r="C8" s="20">
        <v>100</v>
      </c>
      <c r="D8" s="20">
        <v>100</v>
      </c>
      <c r="E8" s="18">
        <v>0</v>
      </c>
    </row>
    <row r="9" spans="1:8" x14ac:dyDescent="0.3">
      <c r="A9" s="23">
        <v>0.9411432241409835</v>
      </c>
      <c r="B9" s="23">
        <v>0</v>
      </c>
      <c r="C9" s="20">
        <v>100</v>
      </c>
      <c r="D9" s="20">
        <v>100</v>
      </c>
      <c r="E9" s="18">
        <v>0</v>
      </c>
    </row>
    <row r="10" spans="1:8" x14ac:dyDescent="0.3">
      <c r="A10" s="23">
        <v>17.176599591008209</v>
      </c>
      <c r="B10" s="23">
        <v>0</v>
      </c>
      <c r="C10" s="20">
        <v>100</v>
      </c>
      <c r="D10" s="20">
        <v>0</v>
      </c>
      <c r="E10" s="18">
        <v>0</v>
      </c>
    </row>
    <row r="11" spans="1:8" x14ac:dyDescent="0.3">
      <c r="A11" s="23">
        <v>1.7176599591008199</v>
      </c>
      <c r="B11" s="23">
        <v>0</v>
      </c>
      <c r="C11" s="20">
        <v>100</v>
      </c>
      <c r="D11" s="20">
        <v>18.981481481481481</v>
      </c>
      <c r="E11" s="18">
        <v>0</v>
      </c>
    </row>
    <row r="12" spans="1:8" x14ac:dyDescent="0.3">
      <c r="A12" s="23">
        <v>1.5229333507582219</v>
      </c>
      <c r="B12" s="23">
        <v>0</v>
      </c>
      <c r="C12" s="20">
        <v>100</v>
      </c>
      <c r="D12" s="20">
        <v>55.092592592592602</v>
      </c>
      <c r="E12" s="18">
        <v>0</v>
      </c>
    </row>
    <row r="13" spans="1:8" x14ac:dyDescent="0.3">
      <c r="A13" s="23">
        <v>1.3502823877118351</v>
      </c>
      <c r="B13" s="23">
        <v>0</v>
      </c>
      <c r="C13" s="20">
        <v>100</v>
      </c>
      <c r="D13" s="20">
        <v>90.740740740740748</v>
      </c>
      <c r="E13" s="18">
        <v>0</v>
      </c>
    </row>
    <row r="14" spans="1:8" x14ac:dyDescent="0.3">
      <c r="A14" s="23">
        <v>1.1972044119048451</v>
      </c>
      <c r="B14" s="23">
        <v>0</v>
      </c>
      <c r="C14" s="20">
        <v>100</v>
      </c>
      <c r="D14" s="20">
        <v>99.074074074074076</v>
      </c>
      <c r="E14" s="18">
        <v>0</v>
      </c>
    </row>
    <row r="15" spans="1:8" x14ac:dyDescent="0.3">
      <c r="A15" s="23">
        <v>1.0614804850659929</v>
      </c>
      <c r="B15" s="23">
        <v>0</v>
      </c>
      <c r="C15" s="20">
        <v>100</v>
      </c>
      <c r="D15" s="20">
        <v>100</v>
      </c>
      <c r="E15" s="18">
        <v>0</v>
      </c>
    </row>
    <row r="16" spans="1:8" x14ac:dyDescent="0.3">
      <c r="A16" s="23">
        <v>0.65597431797023087</v>
      </c>
      <c r="B16" s="23">
        <v>0</v>
      </c>
      <c r="C16" s="20">
        <v>100</v>
      </c>
      <c r="D16" s="20">
        <v>100</v>
      </c>
      <c r="E16" s="18">
        <v>0</v>
      </c>
    </row>
    <row r="17" spans="1:5" x14ac:dyDescent="0.3">
      <c r="A17" s="23">
        <v>0.58160822855806316</v>
      </c>
      <c r="B17" s="23">
        <v>0</v>
      </c>
      <c r="C17" s="20">
        <v>100</v>
      </c>
      <c r="D17" s="20">
        <v>100</v>
      </c>
      <c r="E17" s="18">
        <v>0</v>
      </c>
    </row>
    <row r="18" spans="1:5" x14ac:dyDescent="0.3">
      <c r="A18" s="23">
        <v>0.8344482831367529</v>
      </c>
      <c r="B18" s="23">
        <v>0</v>
      </c>
      <c r="C18" s="20">
        <v>100</v>
      </c>
      <c r="D18" s="20">
        <v>100</v>
      </c>
      <c r="E18" s="18">
        <v>0</v>
      </c>
    </row>
    <row r="19" spans="1:5" x14ac:dyDescent="0.3">
      <c r="A19" s="23">
        <v>0.73984906799431849</v>
      </c>
      <c r="B19" s="23">
        <v>0</v>
      </c>
      <c r="C19" s="20">
        <v>100</v>
      </c>
      <c r="D19" s="20">
        <v>100</v>
      </c>
      <c r="E19" s="18">
        <v>0</v>
      </c>
    </row>
    <row r="20" spans="1:5" x14ac:dyDescent="0.3">
      <c r="A20" s="23">
        <v>0.40537938463348899</v>
      </c>
      <c r="B20" s="23">
        <v>9.2592592592592587E-3</v>
      </c>
      <c r="C20" s="20">
        <v>100</v>
      </c>
      <c r="D20" s="20">
        <v>100</v>
      </c>
      <c r="E20" s="18">
        <v>2</v>
      </c>
    </row>
    <row r="21" spans="1:5" x14ac:dyDescent="0.3">
      <c r="A21" s="23">
        <v>0.35942258611615502</v>
      </c>
      <c r="B21" s="23">
        <v>2.314814814814815E-2</v>
      </c>
      <c r="C21" s="20">
        <v>100</v>
      </c>
      <c r="D21" s="20">
        <v>100</v>
      </c>
      <c r="E21" s="18">
        <v>5</v>
      </c>
    </row>
    <row r="22" spans="1:5" x14ac:dyDescent="0.3">
      <c r="A22" s="23">
        <v>0.31867578941445918</v>
      </c>
      <c r="B22" s="23">
        <v>0.1111111111111111</v>
      </c>
      <c r="C22" s="20">
        <v>100</v>
      </c>
      <c r="D22" s="20">
        <v>100</v>
      </c>
      <c r="E22" s="18">
        <v>24</v>
      </c>
    </row>
    <row r="23" spans="1:5" x14ac:dyDescent="0.3">
      <c r="A23" s="23">
        <v>9.5672280543730431E-3</v>
      </c>
      <c r="B23" s="23">
        <v>1.041666666666667</v>
      </c>
      <c r="C23" s="20">
        <v>100</v>
      </c>
      <c r="D23" s="20">
        <v>100</v>
      </c>
      <c r="E23" s="18">
        <v>225</v>
      </c>
    </row>
    <row r="24" spans="1:5" x14ac:dyDescent="0.3">
      <c r="A24" s="23">
        <v>9.567228054373042E-2</v>
      </c>
      <c r="B24" s="23">
        <v>1.12962962962963</v>
      </c>
      <c r="C24" s="20">
        <v>100</v>
      </c>
      <c r="D24" s="20">
        <v>100</v>
      </c>
      <c r="E24" s="18">
        <v>244</v>
      </c>
    </row>
    <row r="25" spans="1:5" x14ac:dyDescent="0.3">
      <c r="A25" s="23">
        <v>0.28254835027565389</v>
      </c>
      <c r="B25" s="23">
        <v>1.291666666666667</v>
      </c>
      <c r="C25" s="20">
        <v>100</v>
      </c>
      <c r="D25" s="20">
        <v>100</v>
      </c>
      <c r="E25" s="18">
        <v>279</v>
      </c>
    </row>
    <row r="26" spans="1:5" x14ac:dyDescent="0.3">
      <c r="A26" s="23">
        <v>0.10790521161284571</v>
      </c>
      <c r="B26" s="23">
        <v>2.2777777777777781</v>
      </c>
      <c r="C26" s="20">
        <v>100</v>
      </c>
      <c r="D26" s="20">
        <v>100</v>
      </c>
      <c r="E26" s="18">
        <v>492</v>
      </c>
    </row>
    <row r="27" spans="1:5" x14ac:dyDescent="0.3">
      <c r="A27" s="23">
        <v>0.25051658423811018</v>
      </c>
      <c r="B27" s="23">
        <v>10.31018518518519</v>
      </c>
      <c r="C27" s="20">
        <v>100</v>
      </c>
      <c r="D27" s="20">
        <v>100</v>
      </c>
      <c r="E27" s="18">
        <v>2227</v>
      </c>
    </row>
    <row r="28" spans="1:5" x14ac:dyDescent="0.3">
      <c r="A28" s="23">
        <v>0.1217022801906653</v>
      </c>
      <c r="B28" s="23">
        <v>13.203703703703701</v>
      </c>
      <c r="C28" s="20">
        <v>100</v>
      </c>
      <c r="D28" s="20">
        <v>100</v>
      </c>
      <c r="E28" s="18">
        <v>2852</v>
      </c>
    </row>
    <row r="29" spans="1:5" x14ac:dyDescent="0.3">
      <c r="A29" s="23">
        <v>0.22211617557527041</v>
      </c>
      <c r="B29" s="23">
        <v>49.287037037037038</v>
      </c>
      <c r="C29" s="20">
        <v>100</v>
      </c>
      <c r="D29" s="20">
        <v>100</v>
      </c>
      <c r="E29" s="18">
        <v>10646</v>
      </c>
    </row>
    <row r="30" spans="1:5" x14ac:dyDescent="0.3">
      <c r="A30" s="23">
        <v>0.13726348136686251</v>
      </c>
      <c r="B30" s="23">
        <v>59.254629629629633</v>
      </c>
      <c r="C30" s="20">
        <v>100</v>
      </c>
      <c r="D30" s="20">
        <v>100</v>
      </c>
      <c r="E30" s="18">
        <v>12799</v>
      </c>
    </row>
    <row r="31" spans="1:5" x14ac:dyDescent="0.3">
      <c r="A31" s="23">
        <v>0.19693544681773251</v>
      </c>
      <c r="B31" s="23">
        <v>134.2962962962963</v>
      </c>
      <c r="C31" s="20">
        <v>100</v>
      </c>
      <c r="D31" s="20">
        <v>100</v>
      </c>
      <c r="E31" s="18">
        <v>29008</v>
      </c>
    </row>
    <row r="32" spans="1:5" x14ac:dyDescent="0.3">
      <c r="A32" s="23">
        <v>0.1548143821745433</v>
      </c>
      <c r="B32" s="23">
        <v>145.8935185185185</v>
      </c>
      <c r="C32" s="20">
        <v>100</v>
      </c>
      <c r="D32" s="20">
        <v>100</v>
      </c>
      <c r="E32" s="18">
        <v>31513</v>
      </c>
    </row>
    <row r="33" spans="1:5" x14ac:dyDescent="0.3">
      <c r="A33" s="23">
        <v>0.17460939129197739</v>
      </c>
      <c r="B33" s="23">
        <v>192.15740740740739</v>
      </c>
      <c r="C33" s="20">
        <v>100</v>
      </c>
      <c r="D33" s="20">
        <v>100</v>
      </c>
      <c r="E33" s="18">
        <v>41506</v>
      </c>
    </row>
    <row r="35" spans="1:5" ht="22.05" customHeight="1" x14ac:dyDescent="0.3">
      <c r="A35" s="41" t="s">
        <v>32</v>
      </c>
      <c r="B35" s="35"/>
      <c r="C35" s="35"/>
      <c r="D35" s="35"/>
      <c r="E35" s="35"/>
    </row>
    <row r="36" spans="1:5" ht="18" customHeight="1" x14ac:dyDescent="0.3">
      <c r="A36" s="22" t="s">
        <v>108</v>
      </c>
      <c r="B36" s="22" t="s">
        <v>109</v>
      </c>
      <c r="C36" s="22" t="s">
        <v>110</v>
      </c>
      <c r="D36" s="22" t="s">
        <v>111</v>
      </c>
      <c r="E36" s="22" t="s">
        <v>112</v>
      </c>
    </row>
    <row r="37" spans="1:5" x14ac:dyDescent="0.3">
      <c r="A37" s="23">
        <v>18.120038482877021</v>
      </c>
      <c r="B37" s="23">
        <v>0</v>
      </c>
      <c r="C37" s="20">
        <v>31.944444444444439</v>
      </c>
      <c r="D37" s="20">
        <v>31.944444444444439</v>
      </c>
      <c r="E37" s="18">
        <v>0</v>
      </c>
    </row>
    <row r="38" spans="1:5" x14ac:dyDescent="0.3">
      <c r="A38" s="23">
        <v>21.00851235367865</v>
      </c>
      <c r="B38" s="23">
        <v>0</v>
      </c>
      <c r="C38" s="20">
        <v>31.944444444444439</v>
      </c>
      <c r="D38" s="20">
        <v>26.388888888888889</v>
      </c>
      <c r="E38" s="18">
        <v>0</v>
      </c>
    </row>
    <row r="39" spans="1:5" x14ac:dyDescent="0.3">
      <c r="A39" s="23">
        <v>24.35743123458267</v>
      </c>
      <c r="B39" s="23">
        <v>0</v>
      </c>
      <c r="C39" s="20">
        <v>31.944444444444439</v>
      </c>
      <c r="D39" s="20">
        <v>13.888888888888889</v>
      </c>
      <c r="E39" s="18">
        <v>0</v>
      </c>
    </row>
    <row r="40" spans="1:5" x14ac:dyDescent="0.3">
      <c r="A40" s="23">
        <v>243.57431234582671</v>
      </c>
      <c r="B40" s="23">
        <v>0</v>
      </c>
      <c r="C40" s="20">
        <v>31.944444444444439</v>
      </c>
      <c r="D40" s="20">
        <v>0</v>
      </c>
      <c r="E40" s="18">
        <v>0</v>
      </c>
    </row>
    <row r="41" spans="1:5" x14ac:dyDescent="0.3">
      <c r="A41" s="23">
        <v>15.628702741698479</v>
      </c>
      <c r="B41" s="23">
        <v>0</v>
      </c>
      <c r="C41" s="20">
        <v>39.814814814814817</v>
      </c>
      <c r="D41" s="20">
        <v>39.814814814814817</v>
      </c>
      <c r="E41" s="18">
        <v>0</v>
      </c>
    </row>
    <row r="42" spans="1:5" x14ac:dyDescent="0.3">
      <c r="A42" s="23">
        <v>13.47990235336365</v>
      </c>
      <c r="B42" s="23">
        <v>0</v>
      </c>
      <c r="C42" s="20">
        <v>43.981481481481481</v>
      </c>
      <c r="D42" s="20">
        <v>43.981481481481481</v>
      </c>
      <c r="E42" s="18">
        <v>0</v>
      </c>
    </row>
    <row r="43" spans="1:5" x14ac:dyDescent="0.3">
      <c r="A43" s="23">
        <v>11.626541911979009</v>
      </c>
      <c r="B43" s="23">
        <v>9.2592592592592587E-3</v>
      </c>
      <c r="C43" s="20">
        <v>50.925925925925931</v>
      </c>
      <c r="D43" s="20">
        <v>50.925925925925931</v>
      </c>
      <c r="E43" s="18">
        <v>2</v>
      </c>
    </row>
    <row r="44" spans="1:5" x14ac:dyDescent="0.3">
      <c r="A44" s="23">
        <v>10.028001189287099</v>
      </c>
      <c r="B44" s="23">
        <v>8.3333333333333329E-2</v>
      </c>
      <c r="C44" s="20">
        <v>56.481481481481467</v>
      </c>
      <c r="D44" s="20">
        <v>56.481481481481467</v>
      </c>
      <c r="E44" s="18">
        <v>18</v>
      </c>
    </row>
    <row r="45" spans="1:5" x14ac:dyDescent="0.3">
      <c r="A45" s="23">
        <v>8.649244858330059</v>
      </c>
      <c r="B45" s="23">
        <v>0.31018518518518517</v>
      </c>
      <c r="C45" s="20">
        <v>68.055555555555557</v>
      </c>
      <c r="D45" s="20">
        <v>68.055555555555557</v>
      </c>
      <c r="E45" s="18">
        <v>67</v>
      </c>
    </row>
    <row r="46" spans="1:5" x14ac:dyDescent="0.3">
      <c r="A46" s="23">
        <v>6.997824584702779E-2</v>
      </c>
      <c r="B46" s="23">
        <v>1.032407407407407</v>
      </c>
      <c r="C46" s="20">
        <v>99.074074074074076</v>
      </c>
      <c r="D46" s="20">
        <v>99.074074074074076</v>
      </c>
      <c r="E46" s="18">
        <v>223</v>
      </c>
    </row>
    <row r="47" spans="1:5" x14ac:dyDescent="0.3">
      <c r="A47" s="23">
        <v>0.69978245847027787</v>
      </c>
      <c r="B47" s="23">
        <v>1.069444444444444</v>
      </c>
      <c r="C47" s="20">
        <v>99.074074074074076</v>
      </c>
      <c r="D47" s="20">
        <v>99.074074074074076</v>
      </c>
      <c r="E47" s="18">
        <v>231</v>
      </c>
    </row>
    <row r="48" spans="1:5" x14ac:dyDescent="0.3">
      <c r="A48" s="23">
        <v>7.4600546217792489</v>
      </c>
      <c r="B48" s="23">
        <v>1.305555555555556</v>
      </c>
      <c r="C48" s="20">
        <v>99.074074074074076</v>
      </c>
      <c r="D48" s="20">
        <v>78.703703703703709</v>
      </c>
      <c r="E48" s="18">
        <v>282</v>
      </c>
    </row>
    <row r="49" spans="1:5" x14ac:dyDescent="0.3">
      <c r="A49" s="23">
        <v>0.81133317887557999</v>
      </c>
      <c r="B49" s="23">
        <v>1.7592592592592591</v>
      </c>
      <c r="C49" s="20">
        <v>99.074074074074076</v>
      </c>
      <c r="D49" s="20">
        <v>99.074074074074076</v>
      </c>
      <c r="E49" s="18">
        <v>380</v>
      </c>
    </row>
    <row r="50" spans="1:5" x14ac:dyDescent="0.3">
      <c r="A50" s="23">
        <v>6.4343669154343868</v>
      </c>
      <c r="B50" s="23">
        <v>3.9120370370370372</v>
      </c>
      <c r="C50" s="20">
        <v>99.074074074074076</v>
      </c>
      <c r="D50" s="20">
        <v>95.833333333333343</v>
      </c>
      <c r="E50" s="18">
        <v>845</v>
      </c>
    </row>
    <row r="51" spans="1:5" x14ac:dyDescent="0.3">
      <c r="A51" s="23">
        <v>0.94066594436121098</v>
      </c>
      <c r="B51" s="23">
        <v>11.180555555555561</v>
      </c>
      <c r="C51" s="20">
        <v>99.074074074074076</v>
      </c>
      <c r="D51" s="20">
        <v>99.074074074074076</v>
      </c>
      <c r="E51" s="18">
        <v>2415</v>
      </c>
    </row>
    <row r="52" spans="1:5" x14ac:dyDescent="0.3">
      <c r="A52" s="23">
        <v>5.5497016712945104</v>
      </c>
      <c r="B52" s="23">
        <v>14.078703703703701</v>
      </c>
      <c r="C52" s="20">
        <v>99.074074074074076</v>
      </c>
      <c r="D52" s="20">
        <v>98.611111111111114</v>
      </c>
      <c r="E52" s="18">
        <v>3041</v>
      </c>
    </row>
    <row r="53" spans="1:5" x14ac:dyDescent="0.3">
      <c r="A53" s="23">
        <v>1</v>
      </c>
      <c r="B53" s="23">
        <v>22.833333333333329</v>
      </c>
      <c r="C53" s="20">
        <v>99.074074074074076</v>
      </c>
      <c r="D53" s="20">
        <v>99.074074074074076</v>
      </c>
      <c r="E53" s="18">
        <v>4932</v>
      </c>
    </row>
    <row r="54" spans="1:5" x14ac:dyDescent="0.3">
      <c r="A54" s="23">
        <v>2.649041208773883</v>
      </c>
      <c r="B54" s="23">
        <v>41.569444444444443</v>
      </c>
      <c r="C54" s="20">
        <v>99.074074074074076</v>
      </c>
      <c r="D54" s="20">
        <v>99.074074074074076</v>
      </c>
      <c r="E54" s="18">
        <v>8979</v>
      </c>
    </row>
    <row r="55" spans="1:5" x14ac:dyDescent="0.3">
      <c r="A55" s="23">
        <v>4.7866696203615264</v>
      </c>
      <c r="B55" s="23">
        <v>42.125</v>
      </c>
      <c r="C55" s="20">
        <v>99.074074074074076</v>
      </c>
      <c r="D55" s="20">
        <v>99.074074074074076</v>
      </c>
      <c r="E55" s="18">
        <v>9099</v>
      </c>
    </row>
    <row r="56" spans="1:5" x14ac:dyDescent="0.3">
      <c r="A56" s="23">
        <v>2.2848228297947388</v>
      </c>
      <c r="B56" s="23">
        <v>42.962962962962962</v>
      </c>
      <c r="C56" s="20">
        <v>99.074074074074076</v>
      </c>
      <c r="D56" s="20">
        <v>99.074074074074076</v>
      </c>
      <c r="E56" s="18">
        <v>9280</v>
      </c>
    </row>
    <row r="57" spans="1:5" x14ac:dyDescent="0.3">
      <c r="A57" s="23">
        <v>3.0713188061118131</v>
      </c>
      <c r="B57" s="23">
        <v>44.63425925925926</v>
      </c>
      <c r="C57" s="20">
        <v>99.074074074074076</v>
      </c>
      <c r="D57" s="20">
        <v>99.074074074074076</v>
      </c>
      <c r="E57" s="18">
        <v>9641</v>
      </c>
    </row>
    <row r="58" spans="1:5" x14ac:dyDescent="0.3">
      <c r="A58" s="23">
        <v>1.970681069913415</v>
      </c>
      <c r="B58" s="23">
        <v>45.462962962962962</v>
      </c>
      <c r="C58" s="20">
        <v>99.074074074074076</v>
      </c>
      <c r="D58" s="20">
        <v>99.074074074074076</v>
      </c>
      <c r="E58" s="18">
        <v>9820</v>
      </c>
    </row>
    <row r="59" spans="1:5" x14ac:dyDescent="0.3">
      <c r="A59" s="23">
        <v>1.090615350043096</v>
      </c>
      <c r="B59" s="23">
        <v>45.842592592592588</v>
      </c>
      <c r="C59" s="20">
        <v>99.074074074074076</v>
      </c>
      <c r="D59" s="20">
        <v>99.074074074074076</v>
      </c>
      <c r="E59" s="18">
        <v>9902</v>
      </c>
    </row>
    <row r="60" spans="1:5" x14ac:dyDescent="0.3">
      <c r="A60" s="23">
        <v>1.699730862573694</v>
      </c>
      <c r="B60" s="23">
        <v>49.796296296296298</v>
      </c>
      <c r="C60" s="20">
        <v>99.074074074074076</v>
      </c>
      <c r="D60" s="20">
        <v>99.074074074074076</v>
      </c>
      <c r="E60" s="18">
        <v>10756</v>
      </c>
    </row>
    <row r="61" spans="1:5" x14ac:dyDescent="0.3">
      <c r="A61" s="23">
        <v>3.5609107089512539</v>
      </c>
      <c r="B61" s="23">
        <v>56.958333333333343</v>
      </c>
      <c r="C61" s="20">
        <v>99.074074074074076</v>
      </c>
      <c r="D61" s="20">
        <v>99.074074074074076</v>
      </c>
      <c r="E61" s="18">
        <v>12303</v>
      </c>
    </row>
    <row r="62" spans="1:5" x14ac:dyDescent="0.3">
      <c r="A62" s="23">
        <v>1.4660337734468889</v>
      </c>
      <c r="B62" s="23">
        <v>61.615740740740733</v>
      </c>
      <c r="C62" s="20">
        <v>99.074074074074076</v>
      </c>
      <c r="D62" s="20">
        <v>99.074074074074076</v>
      </c>
      <c r="E62" s="18">
        <v>13309</v>
      </c>
    </row>
    <row r="63" spans="1:5" x14ac:dyDescent="0.3">
      <c r="A63" s="23">
        <v>4.1285473366981007</v>
      </c>
      <c r="B63" s="23">
        <v>64.939814814814824</v>
      </c>
      <c r="C63" s="20">
        <v>99.074074074074076</v>
      </c>
      <c r="D63" s="20">
        <v>99.074074074074076</v>
      </c>
      <c r="E63" s="18">
        <v>14027</v>
      </c>
    </row>
    <row r="64" spans="1:5" x14ac:dyDescent="0.3">
      <c r="A64" s="23">
        <v>1.26446784735824</v>
      </c>
      <c r="B64" s="23">
        <v>68.143518518518519</v>
      </c>
      <c r="C64" s="20">
        <v>99.074074074074076</v>
      </c>
      <c r="D64" s="20">
        <v>99.074074074074076</v>
      </c>
      <c r="E64" s="18">
        <v>14719</v>
      </c>
    </row>
    <row r="66" spans="1:5" ht="22.05" customHeight="1" x14ac:dyDescent="0.3">
      <c r="A66" s="41" t="s">
        <v>34</v>
      </c>
      <c r="B66" s="35"/>
      <c r="C66" s="35"/>
      <c r="D66" s="35"/>
      <c r="E66" s="35"/>
    </row>
    <row r="67" spans="1:5" ht="18" customHeight="1" x14ac:dyDescent="0.3">
      <c r="A67" s="22" t="s">
        <v>108</v>
      </c>
      <c r="B67" s="22" t="s">
        <v>109</v>
      </c>
      <c r="C67" s="22" t="s">
        <v>110</v>
      </c>
      <c r="D67" s="22" t="s">
        <v>111</v>
      </c>
      <c r="E67" s="22" t="s">
        <v>112</v>
      </c>
    </row>
    <row r="68" spans="1:5" x14ac:dyDescent="0.3">
      <c r="A68" s="23">
        <v>49.586025281607327</v>
      </c>
      <c r="B68" s="23">
        <v>0</v>
      </c>
      <c r="C68" s="20">
        <v>0</v>
      </c>
      <c r="D68" s="20">
        <v>0</v>
      </c>
      <c r="E68" s="18">
        <v>0</v>
      </c>
    </row>
    <row r="69" spans="1:5" x14ac:dyDescent="0.3">
      <c r="A69" s="23">
        <v>4.9586025281607338</v>
      </c>
      <c r="B69" s="23">
        <v>0.25</v>
      </c>
      <c r="C69" s="20">
        <v>3.24074074074074</v>
      </c>
      <c r="D69" s="20">
        <v>3.24074074074074</v>
      </c>
      <c r="E69" s="18">
        <v>54</v>
      </c>
    </row>
    <row r="70" spans="1:5" x14ac:dyDescent="0.3">
      <c r="A70" s="23">
        <v>4.5371070211634246</v>
      </c>
      <c r="B70" s="23">
        <v>0.59259259259259256</v>
      </c>
      <c r="C70" s="20">
        <v>7.4074074074074074</v>
      </c>
      <c r="D70" s="20">
        <v>7.4074074074074074</v>
      </c>
      <c r="E70" s="18">
        <v>128</v>
      </c>
    </row>
    <row r="71" spans="1:5" x14ac:dyDescent="0.3">
      <c r="A71" s="23">
        <v>5.8807500640741542E-2</v>
      </c>
      <c r="B71" s="23">
        <v>1.041666666666667</v>
      </c>
      <c r="C71" s="20">
        <v>100</v>
      </c>
      <c r="D71" s="20">
        <v>100</v>
      </c>
      <c r="E71" s="18">
        <v>225</v>
      </c>
    </row>
    <row r="72" spans="1:5" x14ac:dyDescent="0.3">
      <c r="A72" s="23">
        <v>0.64270694958661323</v>
      </c>
      <c r="B72" s="23">
        <v>1.041666666666667</v>
      </c>
      <c r="C72" s="20">
        <v>100</v>
      </c>
      <c r="D72" s="20">
        <v>100</v>
      </c>
      <c r="E72" s="18">
        <v>225</v>
      </c>
    </row>
    <row r="73" spans="1:5" x14ac:dyDescent="0.3">
      <c r="A73" s="23">
        <v>0.58807500640741539</v>
      </c>
      <c r="B73" s="23">
        <v>1.041666666666667</v>
      </c>
      <c r="C73" s="20">
        <v>100</v>
      </c>
      <c r="D73" s="20">
        <v>100</v>
      </c>
      <c r="E73" s="18">
        <v>225</v>
      </c>
    </row>
    <row r="74" spans="1:5" x14ac:dyDescent="0.3">
      <c r="A74" s="23">
        <v>0.70241417939254325</v>
      </c>
      <c r="B74" s="23">
        <v>1.0462962962962961</v>
      </c>
      <c r="C74" s="20">
        <v>100</v>
      </c>
      <c r="D74" s="20">
        <v>100</v>
      </c>
      <c r="E74" s="18">
        <v>226</v>
      </c>
    </row>
    <row r="75" spans="1:5" x14ac:dyDescent="0.3">
      <c r="A75" s="23">
        <v>4.1514398471308906</v>
      </c>
      <c r="B75" s="23">
        <v>1.0972222222222221</v>
      </c>
      <c r="C75" s="20">
        <v>100</v>
      </c>
      <c r="D75" s="20">
        <v>11.111111111111111</v>
      </c>
      <c r="E75" s="18">
        <v>237</v>
      </c>
    </row>
    <row r="76" spans="1:5" x14ac:dyDescent="0.3">
      <c r="A76" s="23">
        <v>0.76766818801172743</v>
      </c>
      <c r="B76" s="23">
        <v>1.1712962962962961</v>
      </c>
      <c r="C76" s="20">
        <v>100</v>
      </c>
      <c r="D76" s="20">
        <v>100</v>
      </c>
      <c r="E76" s="18">
        <v>253</v>
      </c>
    </row>
    <row r="77" spans="1:5" x14ac:dyDescent="0.3">
      <c r="A77" s="23">
        <v>3.7985554944936739</v>
      </c>
      <c r="B77" s="23">
        <v>2.300925925925926</v>
      </c>
      <c r="C77" s="20">
        <v>100</v>
      </c>
      <c r="D77" s="20">
        <v>15.74074074074074</v>
      </c>
      <c r="E77" s="18">
        <v>497</v>
      </c>
    </row>
    <row r="78" spans="1:5" x14ac:dyDescent="0.3">
      <c r="A78" s="23">
        <v>0.83898426907448753</v>
      </c>
      <c r="B78" s="23">
        <v>2.7962962962962958</v>
      </c>
      <c r="C78" s="20">
        <v>100</v>
      </c>
      <c r="D78" s="20">
        <v>100</v>
      </c>
      <c r="E78" s="18">
        <v>604</v>
      </c>
    </row>
    <row r="79" spans="1:5" x14ac:dyDescent="0.3">
      <c r="A79" s="23">
        <v>3.475667328943751</v>
      </c>
      <c r="B79" s="23">
        <v>4.4861111111111107</v>
      </c>
      <c r="C79" s="20">
        <v>100</v>
      </c>
      <c r="D79" s="20">
        <v>19.44444444444445</v>
      </c>
      <c r="E79" s="18">
        <v>969</v>
      </c>
    </row>
    <row r="80" spans="1:5" x14ac:dyDescent="0.3">
      <c r="A80" s="23">
        <v>3.1802255881211559</v>
      </c>
      <c r="B80" s="23">
        <v>8.6574074074074083</v>
      </c>
      <c r="C80" s="20">
        <v>100</v>
      </c>
      <c r="D80" s="20">
        <v>27.777777777777779</v>
      </c>
      <c r="E80" s="18">
        <v>1870</v>
      </c>
    </row>
    <row r="81" spans="1:5" x14ac:dyDescent="0.3">
      <c r="A81" s="23">
        <v>0.91692558679232239</v>
      </c>
      <c r="B81" s="23">
        <v>11.944444444444439</v>
      </c>
      <c r="C81" s="20">
        <v>100</v>
      </c>
      <c r="D81" s="20">
        <v>100</v>
      </c>
      <c r="E81" s="18">
        <v>2580</v>
      </c>
    </row>
    <row r="82" spans="1:5" x14ac:dyDescent="0.3">
      <c r="A82" s="23">
        <v>2.9098972468156572</v>
      </c>
      <c r="B82" s="23">
        <v>15.66666666666667</v>
      </c>
      <c r="C82" s="20">
        <v>100</v>
      </c>
      <c r="D82" s="20">
        <v>34.722222222222221</v>
      </c>
      <c r="E82" s="18">
        <v>3384</v>
      </c>
    </row>
    <row r="83" spans="1:5" x14ac:dyDescent="0.3">
      <c r="A83" s="23">
        <v>2.6625475936843381</v>
      </c>
      <c r="B83" s="23">
        <v>28.300925925925931</v>
      </c>
      <c r="C83" s="20">
        <v>100</v>
      </c>
      <c r="D83" s="20">
        <v>43.055555555555557</v>
      </c>
      <c r="E83" s="18">
        <v>6113</v>
      </c>
    </row>
    <row r="84" spans="1:5" x14ac:dyDescent="0.3">
      <c r="A84" s="23">
        <v>1</v>
      </c>
      <c r="B84" s="23">
        <v>42.712962962962962</v>
      </c>
      <c r="C84" s="20">
        <v>100</v>
      </c>
      <c r="D84" s="20">
        <v>100</v>
      </c>
      <c r="E84" s="18">
        <v>9226</v>
      </c>
    </row>
    <row r="85" spans="1:5" x14ac:dyDescent="0.3">
      <c r="A85" s="23">
        <v>1.0021076231165911</v>
      </c>
      <c r="B85" s="23">
        <v>43.81481481481481</v>
      </c>
      <c r="C85" s="20">
        <v>100</v>
      </c>
      <c r="D85" s="20">
        <v>100</v>
      </c>
      <c r="E85" s="18">
        <v>9464</v>
      </c>
    </row>
    <row r="86" spans="1:5" x14ac:dyDescent="0.3">
      <c r="A86" s="23">
        <v>2.436223374001274</v>
      </c>
      <c r="B86" s="23">
        <v>48.449074074074083</v>
      </c>
      <c r="C86" s="20">
        <v>100</v>
      </c>
      <c r="D86" s="20">
        <v>55.555555555555557</v>
      </c>
      <c r="E86" s="18">
        <v>10465</v>
      </c>
    </row>
    <row r="87" spans="1:5" x14ac:dyDescent="0.3">
      <c r="A87" s="23">
        <v>2.2291373653220821</v>
      </c>
      <c r="B87" s="23">
        <v>78.828703703703709</v>
      </c>
      <c r="C87" s="20">
        <v>100</v>
      </c>
      <c r="D87" s="20">
        <v>70.833333333333343</v>
      </c>
      <c r="E87" s="18">
        <v>17027</v>
      </c>
    </row>
    <row r="88" spans="1:5" x14ac:dyDescent="0.3">
      <c r="A88" s="23">
        <v>1.0952030380365341</v>
      </c>
      <c r="B88" s="23">
        <v>108.5648148148148</v>
      </c>
      <c r="C88" s="20">
        <v>100</v>
      </c>
      <c r="D88" s="20">
        <v>100</v>
      </c>
      <c r="E88" s="18">
        <v>23450</v>
      </c>
    </row>
    <row r="89" spans="1:5" x14ac:dyDescent="0.3">
      <c r="A89" s="23">
        <v>2.039654264261431</v>
      </c>
      <c r="B89" s="23">
        <v>121.9351851851852</v>
      </c>
      <c r="C89" s="20">
        <v>100</v>
      </c>
      <c r="D89" s="20">
        <v>77.31481481481481</v>
      </c>
      <c r="E89" s="18">
        <v>26338</v>
      </c>
    </row>
    <row r="90" spans="1:5" x14ac:dyDescent="0.3">
      <c r="A90" s="23">
        <v>1.8662777729351581</v>
      </c>
      <c r="B90" s="23">
        <v>175.2685185185185</v>
      </c>
      <c r="C90" s="20">
        <v>100</v>
      </c>
      <c r="D90" s="20">
        <v>84.259259259259252</v>
      </c>
      <c r="E90" s="18">
        <v>37858</v>
      </c>
    </row>
    <row r="91" spans="1:5" x14ac:dyDescent="0.3">
      <c r="A91" s="23">
        <v>1.196946981397127</v>
      </c>
      <c r="B91" s="23">
        <v>193.97685185185179</v>
      </c>
      <c r="C91" s="20">
        <v>100</v>
      </c>
      <c r="D91" s="20">
        <v>100</v>
      </c>
      <c r="E91" s="18">
        <v>41899</v>
      </c>
    </row>
    <row r="92" spans="1:5" x14ac:dyDescent="0.3">
      <c r="A92" s="23">
        <v>1.707638783092007</v>
      </c>
      <c r="B92" s="23">
        <v>233.80092592592601</v>
      </c>
      <c r="C92" s="20">
        <v>100</v>
      </c>
      <c r="D92" s="20">
        <v>91.203703703703709</v>
      </c>
      <c r="E92" s="18">
        <v>50501</v>
      </c>
    </row>
    <row r="93" spans="1:5" x14ac:dyDescent="0.3">
      <c r="A93" s="23">
        <v>1.3081428981827781</v>
      </c>
      <c r="B93" s="23">
        <v>265.24537037037038</v>
      </c>
      <c r="C93" s="20">
        <v>100</v>
      </c>
      <c r="D93" s="20">
        <v>100</v>
      </c>
      <c r="E93" s="18">
        <v>57293</v>
      </c>
    </row>
    <row r="94" spans="1:5" x14ac:dyDescent="0.3">
      <c r="A94" s="23">
        <v>1.562484564628239</v>
      </c>
      <c r="B94" s="23">
        <v>279.55092592592592</v>
      </c>
      <c r="C94" s="20">
        <v>100</v>
      </c>
      <c r="D94" s="20">
        <v>97.222222222222214</v>
      </c>
      <c r="E94" s="18">
        <v>60383</v>
      </c>
    </row>
    <row r="95" spans="1:5" x14ac:dyDescent="0.3">
      <c r="A95" s="23">
        <v>1.429668873109659</v>
      </c>
      <c r="B95" s="23">
        <v>295.56481481481478</v>
      </c>
      <c r="C95" s="20">
        <v>100</v>
      </c>
      <c r="D95" s="20">
        <v>99.537037037037038</v>
      </c>
      <c r="E95" s="18">
        <v>63842</v>
      </c>
    </row>
    <row r="97" spans="1:5" ht="22.05" customHeight="1" x14ac:dyDescent="0.3">
      <c r="A97" s="41" t="s">
        <v>36</v>
      </c>
      <c r="B97" s="35"/>
      <c r="C97" s="35"/>
      <c r="D97" s="35"/>
      <c r="E97" s="35"/>
    </row>
    <row r="98" spans="1:5" ht="18" customHeight="1" x14ac:dyDescent="0.3">
      <c r="A98" s="22" t="s">
        <v>108</v>
      </c>
      <c r="B98" s="22" t="s">
        <v>109</v>
      </c>
      <c r="C98" s="22" t="s">
        <v>110</v>
      </c>
      <c r="D98" s="22" t="s">
        <v>111</v>
      </c>
      <c r="E98" s="22" t="s">
        <v>112</v>
      </c>
    </row>
    <row r="99" spans="1:5" x14ac:dyDescent="0.3">
      <c r="A99" s="23">
        <v>64.330901680366011</v>
      </c>
      <c r="B99" s="23">
        <v>0</v>
      </c>
      <c r="C99" s="20">
        <v>0</v>
      </c>
      <c r="D99" s="20">
        <v>0</v>
      </c>
      <c r="E99" s="18">
        <v>0</v>
      </c>
    </row>
    <row r="100" spans="1:5" x14ac:dyDescent="0.3">
      <c r="A100" s="23">
        <v>6.4330901680366006</v>
      </c>
      <c r="B100" s="23">
        <v>0.2592592592592593</v>
      </c>
      <c r="C100" s="20">
        <v>2.3148148148148149</v>
      </c>
      <c r="D100" s="20">
        <v>2.3148148148148149</v>
      </c>
      <c r="E100" s="18">
        <v>56</v>
      </c>
    </row>
    <row r="101" spans="1:5" x14ac:dyDescent="0.3">
      <c r="A101" s="23">
        <v>5.7965485591890769</v>
      </c>
      <c r="B101" s="23">
        <v>0.56018518518518523</v>
      </c>
      <c r="C101" s="20">
        <v>3.24074074074074</v>
      </c>
      <c r="D101" s="20">
        <v>3.24074074074074</v>
      </c>
      <c r="E101" s="18">
        <v>121</v>
      </c>
    </row>
    <row r="102" spans="1:5" x14ac:dyDescent="0.3">
      <c r="A102" s="23">
        <v>5.2773487261915081E-2</v>
      </c>
      <c r="B102" s="23">
        <v>1.041666666666667</v>
      </c>
      <c r="C102" s="20">
        <v>100</v>
      </c>
      <c r="D102" s="20">
        <v>100</v>
      </c>
      <c r="E102" s="18">
        <v>225</v>
      </c>
    </row>
    <row r="103" spans="1:5" x14ac:dyDescent="0.3">
      <c r="A103" s="23">
        <v>0.58568749760482575</v>
      </c>
      <c r="B103" s="23">
        <v>1.041666666666667</v>
      </c>
      <c r="C103" s="20">
        <v>100</v>
      </c>
      <c r="D103" s="20">
        <v>100</v>
      </c>
      <c r="E103" s="18">
        <v>225</v>
      </c>
    </row>
    <row r="104" spans="1:5" x14ac:dyDescent="0.3">
      <c r="A104" s="23">
        <v>0.52773487261915075</v>
      </c>
      <c r="B104" s="23">
        <v>1.041666666666667</v>
      </c>
      <c r="C104" s="20">
        <v>100</v>
      </c>
      <c r="D104" s="20">
        <v>100</v>
      </c>
      <c r="E104" s="18">
        <v>225</v>
      </c>
    </row>
    <row r="105" spans="1:5" x14ac:dyDescent="0.3">
      <c r="A105" s="23">
        <v>0.65000412640563987</v>
      </c>
      <c r="B105" s="23">
        <v>1.050925925925926</v>
      </c>
      <c r="C105" s="20">
        <v>100</v>
      </c>
      <c r="D105" s="20">
        <v>100</v>
      </c>
      <c r="E105" s="18">
        <v>227</v>
      </c>
    </row>
    <row r="106" spans="1:5" x14ac:dyDescent="0.3">
      <c r="A106" s="23">
        <v>5.2229914895304121</v>
      </c>
      <c r="B106" s="23">
        <v>1.125</v>
      </c>
      <c r="C106" s="20">
        <v>100</v>
      </c>
      <c r="D106" s="20">
        <v>5.0925925925925926</v>
      </c>
      <c r="E106" s="18">
        <v>243</v>
      </c>
    </row>
    <row r="107" spans="1:5" x14ac:dyDescent="0.3">
      <c r="A107" s="23">
        <v>0.72138361510566407</v>
      </c>
      <c r="B107" s="23">
        <v>1.1527777777777779</v>
      </c>
      <c r="C107" s="20">
        <v>100</v>
      </c>
      <c r="D107" s="20">
        <v>100</v>
      </c>
      <c r="E107" s="18">
        <v>249</v>
      </c>
    </row>
    <row r="108" spans="1:5" x14ac:dyDescent="0.3">
      <c r="A108" s="23">
        <v>0.80060156390170489</v>
      </c>
      <c r="B108" s="23">
        <v>2.300925925925926</v>
      </c>
      <c r="C108" s="20">
        <v>100</v>
      </c>
      <c r="D108" s="20">
        <v>100</v>
      </c>
      <c r="E108" s="18">
        <v>497</v>
      </c>
    </row>
    <row r="109" spans="1:5" x14ac:dyDescent="0.3">
      <c r="A109" s="23">
        <v>4.7061867628904102</v>
      </c>
      <c r="B109" s="23">
        <v>2.4351851851851851</v>
      </c>
      <c r="C109" s="20">
        <v>100</v>
      </c>
      <c r="D109" s="20">
        <v>7.8703703703703702</v>
      </c>
      <c r="E109" s="18">
        <v>526</v>
      </c>
    </row>
    <row r="110" spans="1:5" x14ac:dyDescent="0.3">
      <c r="A110" s="23">
        <v>4.2405188466420851</v>
      </c>
      <c r="B110" s="23">
        <v>4.7129629629629628</v>
      </c>
      <c r="C110" s="20">
        <v>100</v>
      </c>
      <c r="D110" s="20">
        <v>15.27777777777778</v>
      </c>
      <c r="E110" s="18">
        <v>1018</v>
      </c>
    </row>
    <row r="111" spans="1:5" x14ac:dyDescent="0.3">
      <c r="A111" s="23">
        <v>0.88851874467369385</v>
      </c>
      <c r="B111" s="23">
        <v>8.6388888888888893</v>
      </c>
      <c r="C111" s="20">
        <v>100</v>
      </c>
      <c r="D111" s="20">
        <v>100</v>
      </c>
      <c r="E111" s="18">
        <v>1866</v>
      </c>
    </row>
    <row r="112" spans="1:5" x14ac:dyDescent="0.3">
      <c r="A112" s="23">
        <v>3.8209278540579339</v>
      </c>
      <c r="B112" s="23">
        <v>8.8657407407407405</v>
      </c>
      <c r="C112" s="20">
        <v>100</v>
      </c>
      <c r="D112" s="20">
        <v>19.44444444444445</v>
      </c>
      <c r="E112" s="18">
        <v>1915</v>
      </c>
    </row>
    <row r="113" spans="1:5" x14ac:dyDescent="0.3">
      <c r="A113" s="23">
        <v>3.4428545642419648</v>
      </c>
      <c r="B113" s="23">
        <v>16.546296296296291</v>
      </c>
      <c r="C113" s="20">
        <v>100</v>
      </c>
      <c r="D113" s="20">
        <v>27.31481481481481</v>
      </c>
      <c r="E113" s="18">
        <v>3574</v>
      </c>
    </row>
    <row r="114" spans="1:5" x14ac:dyDescent="0.3">
      <c r="A114" s="23">
        <v>3.102190882231195</v>
      </c>
      <c r="B114" s="23">
        <v>29.99074074074074</v>
      </c>
      <c r="C114" s="20">
        <v>100</v>
      </c>
      <c r="D114" s="20">
        <v>35.648148148148152</v>
      </c>
      <c r="E114" s="18">
        <v>6478</v>
      </c>
    </row>
    <row r="115" spans="1:5" x14ac:dyDescent="0.3">
      <c r="A115" s="23">
        <v>0.9860904540194535</v>
      </c>
      <c r="B115" s="23">
        <v>31.68981481481481</v>
      </c>
      <c r="C115" s="20">
        <v>100</v>
      </c>
      <c r="D115" s="20">
        <v>100</v>
      </c>
      <c r="E115" s="18">
        <v>6845</v>
      </c>
    </row>
    <row r="116" spans="1:5" x14ac:dyDescent="0.3">
      <c r="A116" s="23">
        <v>1</v>
      </c>
      <c r="B116" s="23">
        <v>36.796296296296298</v>
      </c>
      <c r="C116" s="20">
        <v>100</v>
      </c>
      <c r="D116" s="20">
        <v>100</v>
      </c>
      <c r="E116" s="18">
        <v>7948</v>
      </c>
    </row>
    <row r="117" spans="1:5" x14ac:dyDescent="0.3">
      <c r="A117" s="23">
        <v>2.79523520097261</v>
      </c>
      <c r="B117" s="23">
        <v>51.837962962962962</v>
      </c>
      <c r="C117" s="20">
        <v>100</v>
      </c>
      <c r="D117" s="20">
        <v>44.907407407407398</v>
      </c>
      <c r="E117" s="18">
        <v>11197</v>
      </c>
    </row>
    <row r="118" spans="1:5" x14ac:dyDescent="0.3">
      <c r="A118" s="23">
        <v>1.0943768933826981</v>
      </c>
      <c r="B118" s="23">
        <v>84.675925925925924</v>
      </c>
      <c r="C118" s="20">
        <v>100</v>
      </c>
      <c r="D118" s="20">
        <v>100</v>
      </c>
      <c r="E118" s="18">
        <v>18290</v>
      </c>
    </row>
    <row r="119" spans="1:5" x14ac:dyDescent="0.3">
      <c r="A119" s="23">
        <v>2.5186521801446302</v>
      </c>
      <c r="B119" s="23">
        <v>84.888888888888886</v>
      </c>
      <c r="C119" s="20">
        <v>100</v>
      </c>
      <c r="D119" s="20">
        <v>59.722222222222221</v>
      </c>
      <c r="E119" s="18">
        <v>18336</v>
      </c>
    </row>
    <row r="120" spans="1:5" x14ac:dyDescent="0.3">
      <c r="A120" s="23">
        <v>2.269436504785006</v>
      </c>
      <c r="B120" s="23">
        <v>131.14814814814821</v>
      </c>
      <c r="C120" s="20">
        <v>100</v>
      </c>
      <c r="D120" s="20">
        <v>74.537037037037038</v>
      </c>
      <c r="E120" s="18">
        <v>28328</v>
      </c>
    </row>
    <row r="121" spans="1:5" x14ac:dyDescent="0.3">
      <c r="A121" s="23">
        <v>1.2145546890633809</v>
      </c>
      <c r="B121" s="23">
        <v>163.1759259259259</v>
      </c>
      <c r="C121" s="20">
        <v>100</v>
      </c>
      <c r="D121" s="20">
        <v>100</v>
      </c>
      <c r="E121" s="18">
        <v>35246</v>
      </c>
    </row>
    <row r="122" spans="1:5" x14ac:dyDescent="0.3">
      <c r="A122" s="23">
        <v>2.044880229931167</v>
      </c>
      <c r="B122" s="23">
        <v>188.125</v>
      </c>
      <c r="C122" s="20">
        <v>100</v>
      </c>
      <c r="D122" s="20">
        <v>81.944444444444443</v>
      </c>
      <c r="E122" s="18">
        <v>40635</v>
      </c>
    </row>
    <row r="123" spans="1:5" x14ac:dyDescent="0.3">
      <c r="A123" s="23">
        <v>1.347929677285316</v>
      </c>
      <c r="B123" s="23">
        <v>243.7407407407407</v>
      </c>
      <c r="C123" s="20">
        <v>100</v>
      </c>
      <c r="D123" s="20">
        <v>100</v>
      </c>
      <c r="E123" s="18">
        <v>52648</v>
      </c>
    </row>
    <row r="124" spans="1:5" x14ac:dyDescent="0.3">
      <c r="A124" s="23">
        <v>1.8425433564441049</v>
      </c>
      <c r="B124" s="23">
        <v>247.4814814814815</v>
      </c>
      <c r="C124" s="20">
        <v>100</v>
      </c>
      <c r="D124" s="20">
        <v>87.962962962962962</v>
      </c>
      <c r="E124" s="18">
        <v>53456</v>
      </c>
    </row>
    <row r="125" spans="1:5" x14ac:dyDescent="0.3">
      <c r="A125" s="23">
        <v>1.6602273182965761</v>
      </c>
      <c r="B125" s="23">
        <v>289.03703703703712</v>
      </c>
      <c r="C125" s="20">
        <v>100</v>
      </c>
      <c r="D125" s="20">
        <v>94.907407407407405</v>
      </c>
      <c r="E125" s="18">
        <v>62432</v>
      </c>
    </row>
    <row r="126" spans="1:5" x14ac:dyDescent="0.3">
      <c r="A126" s="23">
        <v>1.495951093241944</v>
      </c>
      <c r="B126" s="23">
        <v>289.90740740740739</v>
      </c>
      <c r="C126" s="20">
        <v>100</v>
      </c>
      <c r="D126" s="20">
        <v>98.148148148148152</v>
      </c>
      <c r="E126" s="18">
        <v>62620</v>
      </c>
    </row>
    <row r="128" spans="1:5" ht="22.05" customHeight="1" x14ac:dyDescent="0.3">
      <c r="A128" s="41" t="s">
        <v>38</v>
      </c>
      <c r="B128" s="35"/>
      <c r="C128" s="35"/>
      <c r="D128" s="35"/>
      <c r="E128" s="35"/>
    </row>
    <row r="129" spans="1:5" ht="18" customHeight="1" x14ac:dyDescent="0.3">
      <c r="A129" s="22" t="s">
        <v>108</v>
      </c>
      <c r="B129" s="22" t="s">
        <v>109</v>
      </c>
      <c r="C129" s="22" t="s">
        <v>110</v>
      </c>
      <c r="D129" s="22" t="s">
        <v>111</v>
      </c>
      <c r="E129" s="22" t="s">
        <v>112</v>
      </c>
    </row>
    <row r="130" spans="1:5" x14ac:dyDescent="0.3">
      <c r="A130" s="23">
        <v>21.700795149820731</v>
      </c>
      <c r="B130" s="23">
        <v>0</v>
      </c>
      <c r="C130" s="20">
        <v>0</v>
      </c>
      <c r="D130" s="20">
        <v>0</v>
      </c>
      <c r="E130" s="18">
        <v>0</v>
      </c>
    </row>
    <row r="131" spans="1:5" x14ac:dyDescent="0.3">
      <c r="A131" s="23">
        <v>2.1700795149820729</v>
      </c>
      <c r="B131" s="23">
        <v>0.2361111111111111</v>
      </c>
      <c r="C131" s="20">
        <v>0</v>
      </c>
      <c r="D131" s="20">
        <v>0</v>
      </c>
      <c r="E131" s="18">
        <v>51</v>
      </c>
    </row>
    <row r="132" spans="1:5" x14ac:dyDescent="0.3">
      <c r="A132" s="23">
        <v>1</v>
      </c>
      <c r="B132" s="23">
        <v>16.24074074074074</v>
      </c>
      <c r="C132" s="20">
        <v>75.462962962962962</v>
      </c>
      <c r="D132" s="20">
        <v>75.462962962962962</v>
      </c>
      <c r="E132" s="18">
        <v>3508</v>
      </c>
    </row>
    <row r="133" spans="1:5" x14ac:dyDescent="0.3">
      <c r="A133" s="23">
        <v>0.83767207039648284</v>
      </c>
      <c r="B133" s="23">
        <v>19.055555555555561</v>
      </c>
      <c r="C133" s="20">
        <v>79.166666666666657</v>
      </c>
      <c r="D133" s="20">
        <v>79.166666666666657</v>
      </c>
      <c r="E133" s="18">
        <v>4116</v>
      </c>
    </row>
    <row r="134" spans="1:5" x14ac:dyDescent="0.3">
      <c r="A134" s="23">
        <v>0.52044306940133389</v>
      </c>
      <c r="B134" s="23">
        <v>24.625</v>
      </c>
      <c r="C134" s="20">
        <v>84.259259259259252</v>
      </c>
      <c r="D134" s="20">
        <v>84.259259259259252</v>
      </c>
      <c r="E134" s="18">
        <v>5319</v>
      </c>
    </row>
    <row r="135" spans="1:5" x14ac:dyDescent="0.3">
      <c r="A135" s="23">
        <v>0.32334967114240731</v>
      </c>
      <c r="B135" s="23">
        <v>27.162037037037042</v>
      </c>
      <c r="C135" s="20">
        <v>87.5</v>
      </c>
      <c r="D135" s="20">
        <v>87.5</v>
      </c>
      <c r="E135" s="18">
        <v>5867</v>
      </c>
    </row>
    <row r="136" spans="1:5" x14ac:dyDescent="0.3">
      <c r="A136" s="23">
        <v>0.20089615171198749</v>
      </c>
      <c r="B136" s="23">
        <v>30.07407407407408</v>
      </c>
      <c r="C136" s="20">
        <v>88.888888888888886</v>
      </c>
      <c r="D136" s="20">
        <v>88.888888888888886</v>
      </c>
      <c r="E136" s="18">
        <v>6496</v>
      </c>
    </row>
    <row r="137" spans="1:5" x14ac:dyDescent="0.3">
      <c r="A137" s="23">
        <v>1.3482636983320551</v>
      </c>
      <c r="B137" s="23">
        <v>33.388888888888893</v>
      </c>
      <c r="C137" s="20">
        <v>88.888888888888886</v>
      </c>
      <c r="D137" s="20">
        <v>50</v>
      </c>
      <c r="E137" s="18">
        <v>7212</v>
      </c>
    </row>
    <row r="138" spans="1:5" x14ac:dyDescent="0.3">
      <c r="A138" s="23">
        <v>0.1248161584024348</v>
      </c>
      <c r="B138" s="23">
        <v>36.273148148148152</v>
      </c>
      <c r="C138" s="20">
        <v>88.888888888888886</v>
      </c>
      <c r="D138" s="20">
        <v>88.888888888888886</v>
      </c>
      <c r="E138" s="18">
        <v>7835</v>
      </c>
    </row>
    <row r="139" spans="1:5" x14ac:dyDescent="0.3">
      <c r="A139" s="23">
        <v>7.7547893603638951E-2</v>
      </c>
      <c r="B139" s="23">
        <v>43.328703703703702</v>
      </c>
      <c r="C139" s="20">
        <v>89.351851851851848</v>
      </c>
      <c r="D139" s="20">
        <v>89.351851851851848</v>
      </c>
      <c r="E139" s="18">
        <v>9359</v>
      </c>
    </row>
    <row r="140" spans="1:5" x14ac:dyDescent="0.3">
      <c r="A140" s="23">
        <v>4.8180266716524658E-2</v>
      </c>
      <c r="B140" s="23">
        <v>50.458333333333343</v>
      </c>
      <c r="C140" s="20">
        <v>90.740740740740748</v>
      </c>
      <c r="D140" s="20">
        <v>90.740740740740748</v>
      </c>
      <c r="E140" s="18">
        <v>10899</v>
      </c>
    </row>
    <row r="141" spans="1:5" x14ac:dyDescent="0.3">
      <c r="A141" s="23">
        <v>4.4603112950388421E-3</v>
      </c>
      <c r="B141" s="23">
        <v>51.518518518518519</v>
      </c>
      <c r="C141" s="20">
        <v>99.074074074074076</v>
      </c>
      <c r="D141" s="20">
        <v>99.074074074074076</v>
      </c>
      <c r="E141" s="18">
        <v>11128</v>
      </c>
    </row>
    <row r="142" spans="1:5" x14ac:dyDescent="0.3">
      <c r="A142" s="23">
        <v>2.7711776277520288E-3</v>
      </c>
      <c r="B142" s="23">
        <v>51.611111111111107</v>
      </c>
      <c r="C142" s="20">
        <v>99.074074074074076</v>
      </c>
      <c r="D142" s="20">
        <v>99.074074074074076</v>
      </c>
      <c r="E142" s="18">
        <v>11148</v>
      </c>
    </row>
    <row r="143" spans="1:5" x14ac:dyDescent="0.3">
      <c r="A143" s="23">
        <v>7.1790334366943166E-3</v>
      </c>
      <c r="B143" s="23">
        <v>52.495370370370367</v>
      </c>
      <c r="C143" s="20">
        <v>99.074074074074076</v>
      </c>
      <c r="D143" s="20">
        <v>96.296296296296291</v>
      </c>
      <c r="E143" s="18">
        <v>11339</v>
      </c>
    </row>
    <row r="144" spans="1:5" x14ac:dyDescent="0.3">
      <c r="A144" s="23">
        <v>1.7217240987406209E-3</v>
      </c>
      <c r="B144" s="23">
        <v>52.606481481481481</v>
      </c>
      <c r="C144" s="20">
        <v>99.074074074074076</v>
      </c>
      <c r="D144" s="20">
        <v>99.074074074074076</v>
      </c>
      <c r="E144" s="18">
        <v>11363</v>
      </c>
    </row>
    <row r="145" spans="1:5" x14ac:dyDescent="0.3">
      <c r="A145" s="23">
        <v>1.1554915716869551E-2</v>
      </c>
      <c r="B145" s="23">
        <v>53.31481481481481</v>
      </c>
      <c r="C145" s="20">
        <v>99.074074074074076</v>
      </c>
      <c r="D145" s="20">
        <v>94.444444444444443</v>
      </c>
      <c r="E145" s="18">
        <v>11516</v>
      </c>
    </row>
    <row r="146" spans="1:5" x14ac:dyDescent="0.3">
      <c r="A146" s="23">
        <v>1.06970186338754E-3</v>
      </c>
      <c r="B146" s="23">
        <v>53.421296296296298</v>
      </c>
      <c r="C146" s="20">
        <v>99.074074074074076</v>
      </c>
      <c r="D146" s="20">
        <v>99.074074074074076</v>
      </c>
      <c r="E146" s="18">
        <v>11539</v>
      </c>
    </row>
    <row r="147" spans="1:5" x14ac:dyDescent="0.3">
      <c r="A147" s="23">
        <v>6.6460246294499769E-4</v>
      </c>
      <c r="B147" s="23">
        <v>53.912037037037038</v>
      </c>
      <c r="C147" s="20">
        <v>99.074074074074076</v>
      </c>
      <c r="D147" s="20">
        <v>99.074074074074076</v>
      </c>
      <c r="E147" s="18">
        <v>11645</v>
      </c>
    </row>
    <row r="148" spans="1:5" x14ac:dyDescent="0.3">
      <c r="A148" s="23">
        <v>2.9934250861025639E-2</v>
      </c>
      <c r="B148" s="23">
        <v>54.31481481481481</v>
      </c>
      <c r="C148" s="20">
        <v>99.074074074074076</v>
      </c>
      <c r="D148" s="20">
        <v>92.129629629629633</v>
      </c>
      <c r="E148" s="18">
        <v>11732</v>
      </c>
    </row>
    <row r="149" spans="1:5" x14ac:dyDescent="0.3">
      <c r="A149" s="23">
        <v>1.8598057579940468E-2</v>
      </c>
      <c r="B149" s="23">
        <v>54.504629629629633</v>
      </c>
      <c r="C149" s="20">
        <v>99.074074074074076</v>
      </c>
      <c r="D149" s="20">
        <v>93.055555555555557</v>
      </c>
      <c r="E149" s="18">
        <v>11773</v>
      </c>
    </row>
    <row r="150" spans="1:5" x14ac:dyDescent="0.3">
      <c r="A150" s="23">
        <v>4.1291545697956403E-4</v>
      </c>
      <c r="B150" s="23">
        <v>54.745370370370367</v>
      </c>
      <c r="C150" s="20">
        <v>99.074074074074076</v>
      </c>
      <c r="D150" s="20">
        <v>99.074074074074076</v>
      </c>
      <c r="E150" s="18">
        <v>11825</v>
      </c>
    </row>
    <row r="151" spans="1:5" x14ac:dyDescent="0.3">
      <c r="A151" s="23">
        <v>2.3749600293149051E-6</v>
      </c>
      <c r="B151" s="23">
        <v>54.828703703703702</v>
      </c>
      <c r="C151" s="20">
        <v>99.074074074074076</v>
      </c>
      <c r="D151" s="20">
        <v>99.074074074074076</v>
      </c>
      <c r="E151" s="18">
        <v>11843</v>
      </c>
    </row>
    <row r="152" spans="1:5" x14ac:dyDescent="0.3">
      <c r="A152" s="23">
        <v>2.374960029314905E-5</v>
      </c>
      <c r="B152" s="23">
        <v>54.86574074074074</v>
      </c>
      <c r="C152" s="20">
        <v>99.074074074074076</v>
      </c>
      <c r="D152" s="20">
        <v>99.074074074074076</v>
      </c>
      <c r="E152" s="18">
        <v>11851</v>
      </c>
    </row>
    <row r="153" spans="1:5" x14ac:dyDescent="0.3">
      <c r="A153" s="23">
        <v>3.8225846434146122E-5</v>
      </c>
      <c r="B153" s="23">
        <v>54.921296296296298</v>
      </c>
      <c r="C153" s="20">
        <v>99.074074074074076</v>
      </c>
      <c r="D153" s="20">
        <v>99.074074074074076</v>
      </c>
      <c r="E153" s="18">
        <v>11863</v>
      </c>
    </row>
    <row r="154" spans="1:5" x14ac:dyDescent="0.3">
      <c r="A154" s="23">
        <v>6.1525891702204146E-5</v>
      </c>
      <c r="B154" s="23">
        <v>54.99074074074074</v>
      </c>
      <c r="C154" s="20">
        <v>99.074074074074076</v>
      </c>
      <c r="D154" s="20">
        <v>99.074074074074076</v>
      </c>
      <c r="E154" s="18">
        <v>11878</v>
      </c>
    </row>
    <row r="155" spans="1:5" x14ac:dyDescent="0.3">
      <c r="A155" s="23">
        <v>1.5938943405474149E-4</v>
      </c>
      <c r="B155" s="23">
        <v>55.027777777777779</v>
      </c>
      <c r="C155" s="20">
        <v>99.074074074074076</v>
      </c>
      <c r="D155" s="20">
        <v>99.074074074074076</v>
      </c>
      <c r="E155" s="18">
        <v>11886</v>
      </c>
    </row>
    <row r="156" spans="1:5" x14ac:dyDescent="0.3">
      <c r="A156" s="23">
        <v>9.902816295442235E-5</v>
      </c>
      <c r="B156" s="23">
        <v>55.037037037037038</v>
      </c>
      <c r="C156" s="20">
        <v>99.074074074074076</v>
      </c>
      <c r="D156" s="20">
        <v>99.074074074074076</v>
      </c>
      <c r="E156" s="18">
        <v>11888</v>
      </c>
    </row>
    <row r="157" spans="1:5" x14ac:dyDescent="0.3">
      <c r="A157" s="23">
        <v>2.5654309774466298E-4</v>
      </c>
      <c r="B157" s="23">
        <v>55.078703703703702</v>
      </c>
      <c r="C157" s="20">
        <v>99.074074074074076</v>
      </c>
      <c r="D157" s="20">
        <v>99.074074074074076</v>
      </c>
      <c r="E157" s="18">
        <v>11897</v>
      </c>
    </row>
  </sheetData>
  <mergeCells count="7">
    <mergeCell ref="A1:H1"/>
    <mergeCell ref="A35:E35"/>
    <mergeCell ref="A4:E4"/>
    <mergeCell ref="A2:H2"/>
    <mergeCell ref="A128:E128"/>
    <mergeCell ref="A66:E66"/>
    <mergeCell ref="A97:E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8"/>
  <sheetViews>
    <sheetView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14" customWidth="1"/>
    <col min="2" max="5" width="22" customWidth="1"/>
    <col min="6" max="8" width="12" customWidth="1"/>
  </cols>
  <sheetData>
    <row r="1" spans="1:8" ht="17.399999999999999" x14ac:dyDescent="0.3">
      <c r="A1" s="39" t="s">
        <v>116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117</v>
      </c>
      <c r="B2" s="35"/>
      <c r="C2" s="35"/>
      <c r="D2" s="35"/>
      <c r="E2" s="35"/>
      <c r="F2" s="35"/>
      <c r="G2" s="35"/>
      <c r="H2" s="35"/>
    </row>
    <row r="4" spans="1:8" x14ac:dyDescent="0.3">
      <c r="A4" s="24" t="s">
        <v>118</v>
      </c>
    </row>
    <row r="5" spans="1:8" ht="28.05" customHeight="1" x14ac:dyDescent="0.3">
      <c r="A5" s="6" t="s">
        <v>78</v>
      </c>
      <c r="B5" s="6" t="s">
        <v>80</v>
      </c>
      <c r="C5" s="6" t="s">
        <v>81</v>
      </c>
      <c r="D5" s="6" t="s">
        <v>82</v>
      </c>
      <c r="E5" s="6" t="s">
        <v>83</v>
      </c>
    </row>
    <row r="6" spans="1:8" x14ac:dyDescent="0.3">
      <c r="A6" s="9" t="s">
        <v>30</v>
      </c>
      <c r="B6" s="15">
        <v>1967.4</v>
      </c>
      <c r="C6" s="15">
        <v>1162.8</v>
      </c>
      <c r="D6" s="15">
        <v>392.46666666666658</v>
      </c>
      <c r="E6" s="15">
        <v>231.8</v>
      </c>
    </row>
    <row r="7" spans="1:8" x14ac:dyDescent="0.3">
      <c r="A7" s="16" t="s">
        <v>32</v>
      </c>
      <c r="B7" s="21">
        <v>1186891.5</v>
      </c>
      <c r="C7" s="21">
        <v>1183439.7</v>
      </c>
      <c r="D7" s="21">
        <v>241279.8</v>
      </c>
      <c r="E7" s="21">
        <v>240940</v>
      </c>
    </row>
    <row r="8" spans="1:8" x14ac:dyDescent="0.3">
      <c r="A8" s="16" t="s">
        <v>34</v>
      </c>
      <c r="B8" s="21">
        <v>715944.33333333337</v>
      </c>
      <c r="C8" s="21">
        <v>716111.7333333334</v>
      </c>
      <c r="D8" s="21">
        <v>145826.4</v>
      </c>
      <c r="E8" s="21">
        <v>145863.66666666669</v>
      </c>
    </row>
    <row r="9" spans="1:8" x14ac:dyDescent="0.3">
      <c r="A9" s="16" t="s">
        <v>36</v>
      </c>
      <c r="B9" s="21">
        <v>737013.40000000014</v>
      </c>
      <c r="C9" s="21">
        <v>737227.53333333344</v>
      </c>
      <c r="D9" s="21">
        <v>150029.79999999999</v>
      </c>
      <c r="E9" s="21">
        <v>150073.26666666669</v>
      </c>
    </row>
    <row r="10" spans="1:8" x14ac:dyDescent="0.3">
      <c r="A10" s="16" t="s">
        <v>38</v>
      </c>
      <c r="B10" s="21">
        <v>55096.25</v>
      </c>
      <c r="C10" s="21">
        <v>56956.166666666657</v>
      </c>
      <c r="D10" s="21">
        <v>12213.33333333333</v>
      </c>
      <c r="E10" s="21">
        <v>12214.33333333333</v>
      </c>
    </row>
    <row r="12" spans="1:8" x14ac:dyDescent="0.3">
      <c r="A12" s="24" t="s">
        <v>119</v>
      </c>
    </row>
    <row r="13" spans="1:8" ht="28.05" customHeight="1" x14ac:dyDescent="0.3">
      <c r="A13" s="6" t="s">
        <v>78</v>
      </c>
      <c r="B13" s="6" t="s">
        <v>80</v>
      </c>
      <c r="C13" s="6" t="s">
        <v>81</v>
      </c>
      <c r="D13" s="6" t="s">
        <v>82</v>
      </c>
      <c r="E13" s="6" t="s">
        <v>83</v>
      </c>
    </row>
    <row r="14" spans="1:8" x14ac:dyDescent="0.3">
      <c r="A14" s="9" t="s">
        <v>30</v>
      </c>
      <c r="B14" s="25">
        <f t="shared" ref="B14:C18" si="0">B6*49/1000</f>
        <v>96.402600000000007</v>
      </c>
      <c r="C14" s="25">
        <f t="shared" si="0"/>
        <v>56.977199999999996</v>
      </c>
      <c r="D14" s="25">
        <f t="shared" ref="D14:E18" si="1">D6*9/1000</f>
        <v>3.5321999999999996</v>
      </c>
      <c r="E14" s="25">
        <f t="shared" si="1"/>
        <v>2.0862000000000003</v>
      </c>
    </row>
    <row r="15" spans="1:8" x14ac:dyDescent="0.3">
      <c r="A15" s="16" t="s">
        <v>32</v>
      </c>
      <c r="B15" s="26">
        <f t="shared" si="0"/>
        <v>58157.683499999999</v>
      </c>
      <c r="C15" s="26">
        <f t="shared" si="0"/>
        <v>57988.545299999998</v>
      </c>
      <c r="D15" s="26">
        <f t="shared" si="1"/>
        <v>2171.5181999999995</v>
      </c>
      <c r="E15" s="26">
        <f t="shared" si="1"/>
        <v>2168.46</v>
      </c>
    </row>
    <row r="16" spans="1:8" x14ac:dyDescent="0.3">
      <c r="A16" s="16" t="s">
        <v>34</v>
      </c>
      <c r="B16" s="26">
        <f t="shared" si="0"/>
        <v>35081.272333333334</v>
      </c>
      <c r="C16" s="26">
        <f t="shared" si="0"/>
        <v>35089.474933333338</v>
      </c>
      <c r="D16" s="26">
        <f t="shared" si="1"/>
        <v>1312.4375999999997</v>
      </c>
      <c r="E16" s="26">
        <f t="shared" si="1"/>
        <v>1312.7730000000001</v>
      </c>
    </row>
    <row r="17" spans="1:5" x14ac:dyDescent="0.3">
      <c r="A17" s="16" t="s">
        <v>36</v>
      </c>
      <c r="B17" s="26">
        <f t="shared" si="0"/>
        <v>36113.656600000009</v>
      </c>
      <c r="C17" s="26">
        <f t="shared" si="0"/>
        <v>36124.14913333334</v>
      </c>
      <c r="D17" s="26">
        <f t="shared" si="1"/>
        <v>1350.2682</v>
      </c>
      <c r="E17" s="26">
        <f t="shared" si="1"/>
        <v>1350.6594000000002</v>
      </c>
    </row>
    <row r="18" spans="1:5" x14ac:dyDescent="0.3">
      <c r="A18" s="16" t="s">
        <v>38</v>
      </c>
      <c r="B18" s="26">
        <f t="shared" si="0"/>
        <v>2699.7162499999999</v>
      </c>
      <c r="C18" s="26">
        <f t="shared" si="0"/>
        <v>2790.8521666666661</v>
      </c>
      <c r="D18" s="26">
        <f t="shared" si="1"/>
        <v>109.91999999999997</v>
      </c>
      <c r="E18" s="26">
        <f t="shared" si="1"/>
        <v>109.92899999999997</v>
      </c>
    </row>
    <row r="20" spans="1:5" x14ac:dyDescent="0.3">
      <c r="A20" s="24" t="s">
        <v>120</v>
      </c>
    </row>
    <row r="21" spans="1:5" ht="28.05" customHeight="1" x14ac:dyDescent="0.3">
      <c r="A21" s="6" t="s">
        <v>78</v>
      </c>
      <c r="B21" s="6" t="s">
        <v>80</v>
      </c>
      <c r="C21" s="6" t="s">
        <v>81</v>
      </c>
      <c r="D21" s="6" t="s">
        <v>82</v>
      </c>
      <c r="E21" s="6" t="s">
        <v>83</v>
      </c>
    </row>
    <row r="22" spans="1:5" x14ac:dyDescent="0.3">
      <c r="A22" s="9" t="s">
        <v>30</v>
      </c>
      <c r="B22" s="27">
        <f>IFERROR(B6/B6,"-")</f>
        <v>1</v>
      </c>
      <c r="C22" s="27">
        <f>IFERROR(C6/C6,"-")</f>
        <v>1</v>
      </c>
      <c r="D22" s="27">
        <f>IFERROR(D6/D6,"-")</f>
        <v>1</v>
      </c>
      <c r="E22" s="27">
        <f>IFERROR(E6/E6,"-")</f>
        <v>1</v>
      </c>
    </row>
    <row r="23" spans="1:5" x14ac:dyDescent="0.3">
      <c r="A23" s="16" t="s">
        <v>32</v>
      </c>
      <c r="B23" s="28">
        <f>IFERROR(B7/B6,"-")</f>
        <v>603.27920097590732</v>
      </c>
      <c r="C23" s="28">
        <f>IFERROR(C7/C6,"-")</f>
        <v>1017.75</v>
      </c>
      <c r="D23" s="28">
        <f>IFERROR(D7/D6,"-")</f>
        <v>614.77781552573481</v>
      </c>
      <c r="E23" s="28">
        <f>IFERROR(E7/E6,"-")</f>
        <v>1039.4305435720448</v>
      </c>
    </row>
    <row r="24" spans="1:5" x14ac:dyDescent="0.3">
      <c r="A24" s="16" t="s">
        <v>34</v>
      </c>
      <c r="B24" s="28">
        <f>IFERROR(B8/B6,"-")</f>
        <v>363.90379858357903</v>
      </c>
      <c r="C24" s="28">
        <f>IFERROR(C8/C6,"-")</f>
        <v>615.85116385735591</v>
      </c>
      <c r="D24" s="28">
        <f>IFERROR(D8/D6,"-")</f>
        <v>371.56378461015805</v>
      </c>
      <c r="E24" s="28">
        <f>IFERROR(E8/E6,"-")</f>
        <v>629.26517112453269</v>
      </c>
    </row>
    <row r="25" spans="1:5" x14ac:dyDescent="0.3">
      <c r="A25" s="16" t="s">
        <v>36</v>
      </c>
      <c r="B25" s="28">
        <f>IFERROR(B9/B6,"-")</f>
        <v>374.61289010877306</v>
      </c>
      <c r="C25" s="28">
        <f>IFERROR(C9/C6,"-")</f>
        <v>634.01060658181416</v>
      </c>
      <c r="D25" s="28">
        <f>IFERROR(D9/D6,"-")</f>
        <v>382.27399354509942</v>
      </c>
      <c r="E25" s="28">
        <f>IFERROR(E9/E6,"-")</f>
        <v>647.42565429968374</v>
      </c>
    </row>
    <row r="26" spans="1:5" x14ac:dyDescent="0.3">
      <c r="A26" s="16" t="s">
        <v>38</v>
      </c>
      <c r="B26" s="28">
        <f>IFERROR(B10/B6,"-")</f>
        <v>28.004599979668598</v>
      </c>
      <c r="C26" s="28">
        <f>IFERROR(C10/C6,"-")</f>
        <v>48.981911478041503</v>
      </c>
      <c r="D26" s="28">
        <f>IFERROR(D10/D6,"-")</f>
        <v>31.119415661627315</v>
      </c>
      <c r="E26" s="28">
        <f>IFERROR(E10/E6,"-")</f>
        <v>52.693413862525148</v>
      </c>
    </row>
    <row r="28" spans="1:5" ht="48" customHeight="1" x14ac:dyDescent="0.3">
      <c r="A28" s="38" t="s">
        <v>121</v>
      </c>
      <c r="B28" s="35"/>
      <c r="C28" s="35"/>
      <c r="D28" s="35"/>
      <c r="E28" s="35"/>
    </row>
  </sheetData>
  <mergeCells count="3">
    <mergeCell ref="A28:E28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workbookViewId="0">
      <selection sqref="A1:H1"/>
    </sheetView>
  </sheetViews>
  <sheetFormatPr defaultRowHeight="14.4" x14ac:dyDescent="0.3"/>
  <cols>
    <col min="1" max="1" width="20" customWidth="1"/>
    <col min="2" max="2" width="19" customWidth="1"/>
    <col min="3" max="4" width="20" customWidth="1"/>
    <col min="5" max="8" width="12" customWidth="1"/>
  </cols>
  <sheetData>
    <row r="1" spans="1:8" ht="17.399999999999999" x14ac:dyDescent="0.3">
      <c r="A1" s="39" t="s">
        <v>122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123</v>
      </c>
      <c r="B2" s="35"/>
      <c r="C2" s="35"/>
      <c r="D2" s="35"/>
      <c r="E2" s="35"/>
      <c r="F2" s="35"/>
      <c r="G2" s="35"/>
      <c r="H2" s="35"/>
    </row>
    <row r="4" spans="1:8" x14ac:dyDescent="0.3">
      <c r="A4" s="24" t="s">
        <v>124</v>
      </c>
    </row>
    <row r="5" spans="1:8" ht="28.05" customHeight="1" x14ac:dyDescent="0.3">
      <c r="A5" s="6" t="s">
        <v>78</v>
      </c>
      <c r="B5" s="6" t="s">
        <v>125</v>
      </c>
      <c r="C5" s="6" t="s">
        <v>126</v>
      </c>
      <c r="D5" s="6" t="s">
        <v>127</v>
      </c>
    </row>
    <row r="6" spans="1:8" x14ac:dyDescent="0.3">
      <c r="A6" s="9" t="s">
        <v>30</v>
      </c>
      <c r="B6" s="29">
        <v>100</v>
      </c>
      <c r="C6" s="29">
        <v>100</v>
      </c>
      <c r="D6" s="29">
        <v>0</v>
      </c>
    </row>
    <row r="7" spans="1:8" x14ac:dyDescent="0.3">
      <c r="A7" s="16" t="s">
        <v>32</v>
      </c>
      <c r="B7" s="30">
        <v>99.725128716160114</v>
      </c>
      <c r="C7" s="30">
        <v>99.725128716160114</v>
      </c>
      <c r="D7" s="30">
        <v>0</v>
      </c>
    </row>
    <row r="8" spans="1:8" x14ac:dyDescent="0.3">
      <c r="A8" s="16" t="s">
        <v>34</v>
      </c>
      <c r="B8" s="30">
        <v>100</v>
      </c>
      <c r="C8" s="30">
        <v>100</v>
      </c>
      <c r="D8" s="30">
        <v>0</v>
      </c>
    </row>
    <row r="9" spans="1:8" x14ac:dyDescent="0.3">
      <c r="A9" s="16" t="s">
        <v>36</v>
      </c>
      <c r="B9" s="30">
        <v>100</v>
      </c>
      <c r="C9" s="30">
        <v>100</v>
      </c>
      <c r="D9" s="30">
        <v>0</v>
      </c>
    </row>
    <row r="10" spans="1:8" x14ac:dyDescent="0.3">
      <c r="A10" s="16" t="s">
        <v>38</v>
      </c>
      <c r="B10" s="30">
        <v>68.143838933463684</v>
      </c>
      <c r="C10" s="30">
        <v>51.304849001310423</v>
      </c>
      <c r="D10" s="31">
        <v>16.838989932153272</v>
      </c>
    </row>
    <row r="12" spans="1:8" x14ac:dyDescent="0.3">
      <c r="A12" s="24" t="s">
        <v>128</v>
      </c>
    </row>
    <row r="13" spans="1:8" ht="28.05" customHeight="1" x14ac:dyDescent="0.3">
      <c r="A13" s="6" t="s">
        <v>78</v>
      </c>
      <c r="B13" s="6" t="s">
        <v>125</v>
      </c>
      <c r="C13" s="6" t="s">
        <v>126</v>
      </c>
      <c r="D13" s="6" t="s">
        <v>127</v>
      </c>
    </row>
    <row r="14" spans="1:8" x14ac:dyDescent="0.3">
      <c r="A14" s="9" t="s">
        <v>30</v>
      </c>
      <c r="B14" s="29">
        <v>100</v>
      </c>
      <c r="C14" s="29">
        <v>99.96605717429216</v>
      </c>
      <c r="D14" s="29">
        <v>3.3942825707839568E-2</v>
      </c>
    </row>
    <row r="15" spans="1:8" x14ac:dyDescent="0.3">
      <c r="A15" s="16" t="s">
        <v>32</v>
      </c>
      <c r="B15" s="30">
        <v>99.848809763721675</v>
      </c>
      <c r="C15" s="30">
        <v>99.848809763721675</v>
      </c>
      <c r="D15" s="30">
        <v>0</v>
      </c>
    </row>
    <row r="16" spans="1:8" x14ac:dyDescent="0.3">
      <c r="A16" s="16" t="s">
        <v>34</v>
      </c>
      <c r="B16" s="30">
        <v>100</v>
      </c>
      <c r="C16" s="30">
        <v>100</v>
      </c>
      <c r="D16" s="30">
        <v>0</v>
      </c>
    </row>
    <row r="17" spans="1:8" x14ac:dyDescent="0.3">
      <c r="A17" s="16" t="s">
        <v>36</v>
      </c>
      <c r="B17" s="30">
        <v>100</v>
      </c>
      <c r="C17" s="30">
        <v>100</v>
      </c>
      <c r="D17" s="30">
        <v>0</v>
      </c>
    </row>
    <row r="18" spans="1:8" x14ac:dyDescent="0.3">
      <c r="A18" s="16" t="s">
        <v>38</v>
      </c>
      <c r="B18" s="30">
        <v>70.813660252205892</v>
      </c>
      <c r="C18" s="30">
        <v>51.082001020413351</v>
      </c>
      <c r="D18" s="31">
        <v>19.731659231792541</v>
      </c>
    </row>
    <row r="20" spans="1:8" ht="36" customHeight="1" x14ac:dyDescent="0.3">
      <c r="A20" s="38" t="s">
        <v>129</v>
      </c>
      <c r="B20" s="35"/>
      <c r="C20" s="35"/>
      <c r="D20" s="35"/>
      <c r="E20" s="35"/>
      <c r="F20" s="35"/>
      <c r="G20" s="35"/>
      <c r="H20" s="35"/>
    </row>
  </sheetData>
  <mergeCells count="3">
    <mergeCell ref="A20:H20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0"/>
  <sheetViews>
    <sheetView tabSelected="1" topLeftCell="A43" workbookViewId="0">
      <selection activeCell="E74" sqref="E74"/>
    </sheetView>
  </sheetViews>
  <sheetFormatPr defaultRowHeight="14.4" x14ac:dyDescent="0.3"/>
  <cols>
    <col min="1" max="1" width="22" customWidth="1"/>
    <col min="2" max="2" width="26" customWidth="1"/>
    <col min="3" max="4" width="20" customWidth="1"/>
    <col min="5" max="6" width="22" customWidth="1"/>
    <col min="7" max="8" width="10" customWidth="1"/>
  </cols>
  <sheetData>
    <row r="1" spans="1:8" ht="17.399999999999999" x14ac:dyDescent="0.3">
      <c r="A1" s="39" t="s">
        <v>130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131</v>
      </c>
      <c r="B2" s="35"/>
      <c r="C2" s="35"/>
      <c r="D2" s="35"/>
      <c r="E2" s="35"/>
      <c r="F2" s="35"/>
      <c r="G2" s="35"/>
      <c r="H2" s="35"/>
    </row>
    <row r="4" spans="1:8" x14ac:dyDescent="0.3">
      <c r="A4" s="24" t="s">
        <v>132</v>
      </c>
    </row>
    <row r="5" spans="1:8" ht="28.05" customHeight="1" x14ac:dyDescent="0.3">
      <c r="A5" s="6" t="s">
        <v>78</v>
      </c>
      <c r="B5" s="6" t="s">
        <v>79</v>
      </c>
      <c r="C5" s="6" t="s">
        <v>133</v>
      </c>
      <c r="D5" s="6" t="s">
        <v>134</v>
      </c>
      <c r="E5" s="6" t="s">
        <v>135</v>
      </c>
      <c r="F5" s="6" t="s">
        <v>136</v>
      </c>
    </row>
    <row r="6" spans="1:8" x14ac:dyDescent="0.3">
      <c r="A6" s="9" t="s">
        <v>30</v>
      </c>
      <c r="B6" s="10" t="s">
        <v>84</v>
      </c>
      <c r="C6" s="11">
        <v>100</v>
      </c>
      <c r="D6" s="11">
        <v>100</v>
      </c>
      <c r="E6" s="32">
        <f t="shared" ref="E6:E11" si="0">IF(AND(ISNUMBER(C6),ISNUMBER(D6),C6&lt;&gt;0),D6/C6,"-")</f>
        <v>1</v>
      </c>
      <c r="F6" s="11">
        <f t="shared" ref="F6:F11" si="1">IF(AND(ISNUMBER(C6),ISNUMBER(D6)),D6-C6,"-")</f>
        <v>0</v>
      </c>
    </row>
    <row r="7" spans="1:8" x14ac:dyDescent="0.3">
      <c r="A7" s="9" t="s">
        <v>30</v>
      </c>
      <c r="B7" s="10" t="s">
        <v>85</v>
      </c>
      <c r="C7" s="11">
        <v>100</v>
      </c>
      <c r="D7" s="11">
        <v>100</v>
      </c>
      <c r="E7" s="32">
        <f t="shared" si="0"/>
        <v>1</v>
      </c>
      <c r="F7" s="11">
        <f t="shared" si="1"/>
        <v>0</v>
      </c>
    </row>
    <row r="8" spans="1:8" x14ac:dyDescent="0.3">
      <c r="A8" s="9" t="s">
        <v>30</v>
      </c>
      <c r="B8" s="10" t="s">
        <v>86</v>
      </c>
      <c r="C8" s="12">
        <v>0</v>
      </c>
      <c r="D8" s="12">
        <v>0</v>
      </c>
      <c r="E8" s="32" t="str">
        <f t="shared" si="0"/>
        <v>-</v>
      </c>
      <c r="F8" s="12">
        <f t="shared" si="1"/>
        <v>0</v>
      </c>
    </row>
    <row r="9" spans="1:8" x14ac:dyDescent="0.3">
      <c r="A9" s="9" t="s">
        <v>30</v>
      </c>
      <c r="B9" s="10" t="s">
        <v>87</v>
      </c>
      <c r="C9" s="14">
        <v>0</v>
      </c>
      <c r="D9" s="14">
        <v>0</v>
      </c>
      <c r="E9" s="32" t="str">
        <f t="shared" si="0"/>
        <v>-</v>
      </c>
      <c r="F9" s="14">
        <f t="shared" si="1"/>
        <v>0</v>
      </c>
    </row>
    <row r="10" spans="1:8" x14ac:dyDescent="0.3">
      <c r="A10" s="9" t="s">
        <v>30</v>
      </c>
      <c r="B10" s="10" t="s">
        <v>90</v>
      </c>
      <c r="C10" s="15">
        <v>392.46666666666658</v>
      </c>
      <c r="D10" s="15">
        <v>1967.4</v>
      </c>
      <c r="E10" s="32">
        <f t="shared" si="0"/>
        <v>5.0129098012570079</v>
      </c>
      <c r="F10" s="15">
        <f t="shared" si="1"/>
        <v>1574.9333333333334</v>
      </c>
    </row>
    <row r="11" spans="1:8" x14ac:dyDescent="0.3">
      <c r="A11" s="9" t="s">
        <v>30</v>
      </c>
      <c r="B11" s="10" t="s">
        <v>89</v>
      </c>
      <c r="C11" s="11">
        <v>6.3303206860955354</v>
      </c>
      <c r="D11" s="11">
        <v>12.19734872053532</v>
      </c>
      <c r="E11" s="32">
        <f t="shared" si="0"/>
        <v>1.9268137153504139</v>
      </c>
      <c r="F11" s="11">
        <f t="shared" si="1"/>
        <v>5.8670280344397847</v>
      </c>
    </row>
    <row r="13" spans="1:8" x14ac:dyDescent="0.3">
      <c r="A13" s="16" t="s">
        <v>32</v>
      </c>
      <c r="B13" s="7" t="s">
        <v>84</v>
      </c>
      <c r="C13" s="17">
        <v>99.725128716160114</v>
      </c>
      <c r="D13" s="17">
        <v>99.848809763721675</v>
      </c>
      <c r="E13" s="33">
        <f t="shared" ref="E13:E18" si="2">IF(AND(ISNUMBER(C13),ISNUMBER(D13),C13&lt;&gt;0),D13/C13,"-")</f>
        <v>1.0012402194828305</v>
      </c>
      <c r="F13" s="17">
        <f t="shared" ref="F13:F18" si="3">IF(AND(ISNUMBER(C13),ISNUMBER(D13)),D13-C13,"-")</f>
        <v>0.12368104756156129</v>
      </c>
    </row>
    <row r="14" spans="1:8" x14ac:dyDescent="0.3">
      <c r="A14" s="16" t="s">
        <v>32</v>
      </c>
      <c r="B14" s="7" t="s">
        <v>85</v>
      </c>
      <c r="C14" s="17">
        <v>1.6489288415567001</v>
      </c>
      <c r="D14" s="17">
        <v>1.7157874801138731</v>
      </c>
      <c r="E14" s="33">
        <f t="shared" si="2"/>
        <v>1.0405467093983594</v>
      </c>
      <c r="F14" s="17">
        <f t="shared" si="3"/>
        <v>6.6858638557173E-2</v>
      </c>
    </row>
    <row r="15" spans="1:8" x14ac:dyDescent="0.3">
      <c r="A15" s="16" t="s">
        <v>32</v>
      </c>
      <c r="B15" s="7" t="s">
        <v>86</v>
      </c>
      <c r="C15" s="18">
        <v>12574.8</v>
      </c>
      <c r="D15" s="18">
        <v>67501.399999999994</v>
      </c>
      <c r="E15" s="33">
        <f t="shared" si="2"/>
        <v>5.3679899481502682</v>
      </c>
      <c r="F15" s="18">
        <f t="shared" si="3"/>
        <v>54926.599999999991</v>
      </c>
    </row>
    <row r="16" spans="1:8" x14ac:dyDescent="0.3">
      <c r="A16" s="16" t="s">
        <v>32</v>
      </c>
      <c r="B16" s="7" t="s">
        <v>87</v>
      </c>
      <c r="C16" s="20">
        <v>58.216666666666683</v>
      </c>
      <c r="D16" s="20">
        <v>57.399149659863951</v>
      </c>
      <c r="E16" s="33">
        <f t="shared" si="2"/>
        <v>0.98595733741535529</v>
      </c>
      <c r="F16" s="20">
        <f t="shared" si="3"/>
        <v>-0.81751700680273132</v>
      </c>
    </row>
    <row r="17" spans="1:6" x14ac:dyDescent="0.3">
      <c r="A17" s="16" t="s">
        <v>32</v>
      </c>
      <c r="B17" s="7" t="s">
        <v>90</v>
      </c>
      <c r="C17" s="21">
        <v>241279.8</v>
      </c>
      <c r="D17" s="21">
        <v>1186891.5</v>
      </c>
      <c r="E17" s="33">
        <f t="shared" si="2"/>
        <v>4.9191498832475826</v>
      </c>
      <c r="F17" s="21">
        <f t="shared" si="3"/>
        <v>945611.7</v>
      </c>
    </row>
    <row r="18" spans="1:6" x14ac:dyDescent="0.3">
      <c r="A18" s="16" t="s">
        <v>32</v>
      </c>
      <c r="B18" s="7" t="s">
        <v>89</v>
      </c>
      <c r="C18" s="17">
        <v>8.0073574897076867</v>
      </c>
      <c r="D18" s="17">
        <v>14.190117877891209</v>
      </c>
      <c r="E18" s="33">
        <f t="shared" si="2"/>
        <v>1.772134926675945</v>
      </c>
      <c r="F18" s="17">
        <f t="shared" si="3"/>
        <v>6.1827603881835227</v>
      </c>
    </row>
    <row r="20" spans="1:6" x14ac:dyDescent="0.3">
      <c r="A20" s="16" t="s">
        <v>34</v>
      </c>
      <c r="B20" s="7" t="s">
        <v>84</v>
      </c>
      <c r="C20" s="17">
        <v>100</v>
      </c>
      <c r="D20" s="17">
        <v>100</v>
      </c>
      <c r="E20" s="33">
        <f t="shared" ref="E20:E25" si="4">IF(AND(ISNUMBER(C20),ISNUMBER(D20),C20&lt;&gt;0),D20/C20,"-")</f>
        <v>1</v>
      </c>
      <c r="F20" s="17">
        <f t="shared" ref="F20:F25" si="5">IF(AND(ISNUMBER(C20),ISNUMBER(D20)),D20-C20,"-")</f>
        <v>0</v>
      </c>
    </row>
    <row r="21" spans="1:6" x14ac:dyDescent="0.3">
      <c r="A21" s="16" t="s">
        <v>34</v>
      </c>
      <c r="B21" s="7" t="s">
        <v>85</v>
      </c>
      <c r="C21" s="17">
        <v>2.2466273058207422</v>
      </c>
      <c r="D21" s="17">
        <v>2.2904376186369881</v>
      </c>
      <c r="E21" s="33">
        <f t="shared" si="4"/>
        <v>1.0195004808775976</v>
      </c>
      <c r="F21" s="17">
        <f t="shared" si="5"/>
        <v>4.3810312816245922E-2</v>
      </c>
    </row>
    <row r="22" spans="1:6" x14ac:dyDescent="0.3">
      <c r="A22" s="16" t="s">
        <v>34</v>
      </c>
      <c r="B22" s="7" t="s">
        <v>86</v>
      </c>
      <c r="C22" s="18">
        <v>9194.2000000000007</v>
      </c>
      <c r="D22" s="18">
        <v>50303</v>
      </c>
      <c r="E22" s="33">
        <f t="shared" si="4"/>
        <v>5.4711666050336074</v>
      </c>
      <c r="F22" s="18">
        <f t="shared" si="5"/>
        <v>41108.800000000003</v>
      </c>
    </row>
    <row r="23" spans="1:6" x14ac:dyDescent="0.3">
      <c r="A23" s="16" t="s">
        <v>34</v>
      </c>
      <c r="B23" s="7" t="s">
        <v>87</v>
      </c>
      <c r="C23" s="20">
        <v>42.565740740740743</v>
      </c>
      <c r="D23" s="20">
        <v>42.77465986394558</v>
      </c>
      <c r="E23" s="33">
        <f t="shared" si="4"/>
        <v>1.0049081519449483</v>
      </c>
      <c r="F23" s="20">
        <f t="shared" si="5"/>
        <v>0.20891912320483641</v>
      </c>
    </row>
    <row r="24" spans="1:6" x14ac:dyDescent="0.3">
      <c r="A24" s="16" t="s">
        <v>34</v>
      </c>
      <c r="B24" s="7" t="s">
        <v>90</v>
      </c>
      <c r="C24" s="21">
        <v>145826.4</v>
      </c>
      <c r="D24" s="21">
        <v>715944.33333333337</v>
      </c>
      <c r="E24" s="33">
        <f t="shared" si="4"/>
        <v>4.909565986222888</v>
      </c>
      <c r="F24" s="21">
        <f t="shared" si="5"/>
        <v>570117.93333333335</v>
      </c>
    </row>
    <row r="25" spans="1:6" x14ac:dyDescent="0.3">
      <c r="A25" s="16" t="s">
        <v>34</v>
      </c>
      <c r="B25" s="7" t="s">
        <v>89</v>
      </c>
      <c r="C25" s="17">
        <v>8.9564607913178804</v>
      </c>
      <c r="D25" s="17">
        <v>14.919171598111591</v>
      </c>
      <c r="E25" s="33">
        <f t="shared" si="4"/>
        <v>1.6657440863888759</v>
      </c>
      <c r="F25" s="17">
        <f t="shared" si="5"/>
        <v>5.9627108067937105</v>
      </c>
    </row>
    <row r="27" spans="1:6" x14ac:dyDescent="0.3">
      <c r="A27" s="16" t="s">
        <v>36</v>
      </c>
      <c r="B27" s="7" t="s">
        <v>84</v>
      </c>
      <c r="C27" s="17">
        <v>100</v>
      </c>
      <c r="D27" s="17">
        <v>100</v>
      </c>
      <c r="E27" s="33">
        <f t="shared" ref="E27:E32" si="6">IF(AND(ISNUMBER(C27),ISNUMBER(D27),C27&lt;&gt;0),D27/C27,"-")</f>
        <v>1</v>
      </c>
      <c r="F27" s="17">
        <f t="shared" ref="F27:F32" si="7">IF(AND(ISNUMBER(C27),ISNUMBER(D27)),D27-C27,"-")</f>
        <v>0</v>
      </c>
    </row>
    <row r="28" spans="1:6" x14ac:dyDescent="0.3">
      <c r="A28" s="16" t="s">
        <v>36</v>
      </c>
      <c r="B28" s="7" t="s">
        <v>85</v>
      </c>
      <c r="C28" s="17">
        <v>2.587888292202245</v>
      </c>
      <c r="D28" s="17">
        <v>2.6517530796346951</v>
      </c>
      <c r="E28" s="33">
        <f t="shared" si="6"/>
        <v>1.0246783401064434</v>
      </c>
      <c r="F28" s="17">
        <f t="shared" si="7"/>
        <v>6.3864787432450054E-2</v>
      </c>
    </row>
    <row r="29" spans="1:6" x14ac:dyDescent="0.3">
      <c r="A29" s="16" t="s">
        <v>36</v>
      </c>
      <c r="B29" s="7" t="s">
        <v>86</v>
      </c>
      <c r="C29" s="18">
        <v>7952.2</v>
      </c>
      <c r="D29" s="18">
        <v>43286.6</v>
      </c>
      <c r="E29" s="33">
        <f t="shared" si="6"/>
        <v>5.4433490103367621</v>
      </c>
      <c r="F29" s="18">
        <f t="shared" si="7"/>
        <v>35334.400000000001</v>
      </c>
    </row>
    <row r="30" spans="1:6" x14ac:dyDescent="0.3">
      <c r="A30" s="16" t="s">
        <v>36</v>
      </c>
      <c r="B30" s="7" t="s">
        <v>87</v>
      </c>
      <c r="C30" s="20">
        <v>36.815740740740743</v>
      </c>
      <c r="D30" s="20">
        <v>36.808333333333337</v>
      </c>
      <c r="E30" s="33">
        <f t="shared" si="6"/>
        <v>0.99979879781695635</v>
      </c>
      <c r="F30" s="20">
        <f t="shared" si="7"/>
        <v>-7.4074074074061969E-3</v>
      </c>
    </row>
    <row r="31" spans="1:6" x14ac:dyDescent="0.3">
      <c r="A31" s="16" t="s">
        <v>36</v>
      </c>
      <c r="B31" s="7" t="s">
        <v>90</v>
      </c>
      <c r="C31" s="21">
        <v>150029.79999999999</v>
      </c>
      <c r="D31" s="21">
        <v>737013.40000000014</v>
      </c>
      <c r="E31" s="33">
        <f t="shared" si="6"/>
        <v>4.9124467272501873</v>
      </c>
      <c r="F31" s="21">
        <f t="shared" si="7"/>
        <v>586983.60000000009</v>
      </c>
    </row>
    <row r="32" spans="1:6" x14ac:dyDescent="0.3">
      <c r="A32" s="16" t="s">
        <v>36</v>
      </c>
      <c r="B32" s="7" t="s">
        <v>89</v>
      </c>
      <c r="C32" s="17">
        <v>10.18482288049085</v>
      </c>
      <c r="D32" s="17">
        <v>16.162551294403531</v>
      </c>
      <c r="E32" s="33">
        <f t="shared" si="6"/>
        <v>1.5869251222191689</v>
      </c>
      <c r="F32" s="17">
        <f t="shared" si="7"/>
        <v>5.9777284139126809</v>
      </c>
    </row>
    <row r="34" spans="1:6" x14ac:dyDescent="0.3">
      <c r="A34" s="16" t="s">
        <v>38</v>
      </c>
      <c r="B34" s="7" t="s">
        <v>84</v>
      </c>
      <c r="C34" s="17">
        <v>68.143838933463684</v>
      </c>
      <c r="D34" s="17">
        <v>70.813660252205892</v>
      </c>
      <c r="E34" s="33">
        <f t="shared" ref="E34:E39" si="8">IF(AND(ISNUMBER(C34),ISNUMBER(D34),C34&lt;&gt;0),D34/C34,"-")</f>
        <v>1.039179203293038</v>
      </c>
      <c r="F34" s="17">
        <f t="shared" ref="F34:F39" si="9">IF(AND(ISNUMBER(C34),ISNUMBER(D34)),D34-C34,"-")</f>
        <v>2.6698213187422084</v>
      </c>
    </row>
    <row r="35" spans="1:6" x14ac:dyDescent="0.3">
      <c r="A35" s="16" t="s">
        <v>38</v>
      </c>
      <c r="B35" s="7" t="s">
        <v>85</v>
      </c>
      <c r="C35" s="17">
        <v>1.7048006491683381</v>
      </c>
      <c r="D35" s="17">
        <v>1.7825747522430779</v>
      </c>
      <c r="E35" s="33">
        <f t="shared" si="8"/>
        <v>1.0456206437466344</v>
      </c>
      <c r="F35" s="17">
        <f t="shared" si="9"/>
        <v>7.7774103074739864E-2</v>
      </c>
    </row>
    <row r="36" spans="1:6" x14ac:dyDescent="0.3">
      <c r="A36" s="16" t="s">
        <v>38</v>
      </c>
      <c r="B36" s="7" t="s">
        <v>86</v>
      </c>
      <c r="C36" s="18">
        <v>8437.6</v>
      </c>
      <c r="D36" s="18">
        <v>46029.8</v>
      </c>
      <c r="E36" s="33">
        <f t="shared" si="8"/>
        <v>5.4553190480705416</v>
      </c>
      <c r="F36" s="18">
        <f t="shared" si="9"/>
        <v>37592.200000000004</v>
      </c>
    </row>
    <row r="37" spans="1:6" x14ac:dyDescent="0.3">
      <c r="A37" s="16" t="s">
        <v>38</v>
      </c>
      <c r="B37" s="7" t="s">
        <v>87</v>
      </c>
      <c r="C37" s="20">
        <v>39.062962962962963</v>
      </c>
      <c r="D37" s="20">
        <v>39.140986394557828</v>
      </c>
      <c r="E37" s="33">
        <f t="shared" si="8"/>
        <v>1.001997376176222</v>
      </c>
      <c r="F37" s="20">
        <f t="shared" si="9"/>
        <v>7.8023431594864689E-2</v>
      </c>
    </row>
    <row r="38" spans="1:6" x14ac:dyDescent="0.3">
      <c r="A38" s="16" t="s">
        <v>38</v>
      </c>
      <c r="B38" s="7" t="s">
        <v>90</v>
      </c>
      <c r="C38" s="21">
        <v>12213.33333333333</v>
      </c>
      <c r="D38" s="21">
        <v>55096.25</v>
      </c>
      <c r="E38" s="33">
        <f t="shared" si="8"/>
        <v>4.5111558406113552</v>
      </c>
      <c r="F38" s="21">
        <f t="shared" si="9"/>
        <v>42882.916666666672</v>
      </c>
    </row>
    <row r="39" spans="1:6" x14ac:dyDescent="0.3">
      <c r="A39" s="16" t="s">
        <v>38</v>
      </c>
      <c r="B39" s="7" t="s">
        <v>89</v>
      </c>
      <c r="C39" s="17">
        <v>13.891886560890271</v>
      </c>
      <c r="D39" s="17">
        <v>20.11084138696344</v>
      </c>
      <c r="E39" s="33">
        <f t="shared" si="8"/>
        <v>1.4476681261983055</v>
      </c>
      <c r="F39" s="17">
        <f t="shared" si="9"/>
        <v>6.2189548260731691</v>
      </c>
    </row>
    <row r="42" spans="1:6" x14ac:dyDescent="0.3">
      <c r="A42" s="24" t="s">
        <v>137</v>
      </c>
    </row>
    <row r="43" spans="1:6" ht="28.05" customHeight="1" x14ac:dyDescent="0.3">
      <c r="A43" s="6" t="s">
        <v>78</v>
      </c>
      <c r="B43" s="6" t="s">
        <v>79</v>
      </c>
      <c r="C43" s="6" t="s">
        <v>133</v>
      </c>
      <c r="D43" s="6" t="s">
        <v>134</v>
      </c>
      <c r="E43" s="6" t="s">
        <v>135</v>
      </c>
      <c r="F43" s="6" t="s">
        <v>136</v>
      </c>
    </row>
    <row r="44" spans="1:6" x14ac:dyDescent="0.3">
      <c r="A44" s="9" t="s">
        <v>30</v>
      </c>
      <c r="B44" s="10" t="s">
        <v>84</v>
      </c>
      <c r="C44" s="11">
        <v>100</v>
      </c>
      <c r="D44" s="11">
        <v>99.96605717429216</v>
      </c>
      <c r="E44" s="32">
        <f t="shared" ref="E44:E49" si="10">IF(AND(ISNUMBER(C44),ISNUMBER(D44),C44&lt;&gt;0),D44/C44,"-")</f>
        <v>0.99966057174292156</v>
      </c>
      <c r="F44" s="11">
        <f t="shared" ref="F44:F49" si="11">IF(AND(ISNUMBER(C44),ISNUMBER(D44)),D44-C44,"-")</f>
        <v>-3.3942825707839575E-2</v>
      </c>
    </row>
    <row r="45" spans="1:6" x14ac:dyDescent="0.3">
      <c r="A45" s="9" t="s">
        <v>30</v>
      </c>
      <c r="B45" s="10" t="s">
        <v>85</v>
      </c>
      <c r="C45" s="11">
        <v>100</v>
      </c>
      <c r="D45" s="11">
        <v>100</v>
      </c>
      <c r="E45" s="32">
        <f t="shared" si="10"/>
        <v>1</v>
      </c>
      <c r="F45" s="11">
        <f t="shared" si="11"/>
        <v>0</v>
      </c>
    </row>
    <row r="46" spans="1:6" x14ac:dyDescent="0.3">
      <c r="A46" s="9" t="s">
        <v>30</v>
      </c>
      <c r="B46" s="10" t="s">
        <v>86</v>
      </c>
      <c r="C46" s="12">
        <v>0</v>
      </c>
      <c r="D46" s="12">
        <v>0</v>
      </c>
      <c r="E46" s="32" t="str">
        <f t="shared" si="10"/>
        <v>-</v>
      </c>
      <c r="F46" s="12">
        <f t="shared" si="11"/>
        <v>0</v>
      </c>
    </row>
    <row r="47" spans="1:6" x14ac:dyDescent="0.3">
      <c r="A47" s="9" t="s">
        <v>30</v>
      </c>
      <c r="B47" s="10" t="s">
        <v>87</v>
      </c>
      <c r="C47" s="14">
        <v>0</v>
      </c>
      <c r="D47" s="14">
        <v>0</v>
      </c>
      <c r="E47" s="32" t="str">
        <f t="shared" si="10"/>
        <v>-</v>
      </c>
      <c r="F47" s="14">
        <f t="shared" si="11"/>
        <v>0</v>
      </c>
    </row>
    <row r="48" spans="1:6" x14ac:dyDescent="0.3">
      <c r="A48" s="9" t="s">
        <v>30</v>
      </c>
      <c r="B48" s="10" t="s">
        <v>90</v>
      </c>
      <c r="C48" s="15">
        <v>231.8</v>
      </c>
      <c r="D48" s="15">
        <v>1162.8</v>
      </c>
      <c r="E48" s="32">
        <f t="shared" si="10"/>
        <v>5.0163934426229506</v>
      </c>
      <c r="F48" s="15">
        <f t="shared" si="11"/>
        <v>931</v>
      </c>
    </row>
    <row r="49" spans="1:6" x14ac:dyDescent="0.3">
      <c r="A49" s="9" t="s">
        <v>30</v>
      </c>
      <c r="B49" s="10" t="s">
        <v>89</v>
      </c>
      <c r="C49" s="11">
        <v>6.3405595712462048</v>
      </c>
      <c r="D49" s="11">
        <v>12.1805830979322</v>
      </c>
      <c r="E49" s="32">
        <f t="shared" si="10"/>
        <v>1.9210580645231865</v>
      </c>
      <c r="F49" s="11">
        <f t="shared" si="11"/>
        <v>5.8400235266859948</v>
      </c>
    </row>
    <row r="51" spans="1:6" x14ac:dyDescent="0.3">
      <c r="A51" s="16" t="s">
        <v>32</v>
      </c>
      <c r="B51" s="7" t="s">
        <v>84</v>
      </c>
      <c r="C51" s="17">
        <v>99.725128716160114</v>
      </c>
      <c r="D51" s="17">
        <v>99.848809763721675</v>
      </c>
      <c r="E51" s="33">
        <f t="shared" ref="E51:E56" si="12">IF(AND(ISNUMBER(C51),ISNUMBER(D51),C51&lt;&gt;0),D51/C51,"-")</f>
        <v>1.0012402194828305</v>
      </c>
      <c r="F51" s="17">
        <f t="shared" ref="F51:F56" si="13">IF(AND(ISNUMBER(C51),ISNUMBER(D51)),D51-C51,"-")</f>
        <v>0.12368104756156129</v>
      </c>
    </row>
    <row r="52" spans="1:6" x14ac:dyDescent="0.3">
      <c r="A52" s="16" t="s">
        <v>32</v>
      </c>
      <c r="B52" s="7" t="s">
        <v>85</v>
      </c>
      <c r="C52" s="17">
        <v>1.66079798612577</v>
      </c>
      <c r="D52" s="17">
        <v>1.687837161610376</v>
      </c>
      <c r="E52" s="33">
        <f t="shared" si="12"/>
        <v>1.0162808334972044</v>
      </c>
      <c r="F52" s="17">
        <f t="shared" si="13"/>
        <v>2.7039175484605993E-2</v>
      </c>
    </row>
    <row r="53" spans="1:6" x14ac:dyDescent="0.3">
      <c r="A53" s="16" t="s">
        <v>32</v>
      </c>
      <c r="B53" s="7" t="s">
        <v>86</v>
      </c>
      <c r="C53" s="18">
        <v>12519.2</v>
      </c>
      <c r="D53" s="18">
        <v>68603.8</v>
      </c>
      <c r="E53" s="33">
        <f t="shared" si="12"/>
        <v>5.4798868937312291</v>
      </c>
      <c r="F53" s="18">
        <f t="shared" si="13"/>
        <v>56084.600000000006</v>
      </c>
    </row>
    <row r="54" spans="1:6" x14ac:dyDescent="0.3">
      <c r="A54" s="16" t="s">
        <v>32</v>
      </c>
      <c r="B54" s="7" t="s">
        <v>87</v>
      </c>
      <c r="C54" s="20">
        <v>57.959259259259262</v>
      </c>
      <c r="D54" s="20">
        <v>58.336564625850343</v>
      </c>
      <c r="E54" s="33">
        <f t="shared" si="12"/>
        <v>1.0065098376241033</v>
      </c>
      <c r="F54" s="20">
        <f t="shared" si="13"/>
        <v>0.37730536659108083</v>
      </c>
    </row>
    <row r="55" spans="1:6" x14ac:dyDescent="0.3">
      <c r="A55" s="16" t="s">
        <v>32</v>
      </c>
      <c r="B55" s="7" t="s">
        <v>90</v>
      </c>
      <c r="C55" s="21">
        <v>240940</v>
      </c>
      <c r="D55" s="21">
        <v>1183439.7</v>
      </c>
      <c r="E55" s="33">
        <f t="shared" si="12"/>
        <v>4.9117610193409149</v>
      </c>
      <c r="F55" s="21">
        <f t="shared" si="13"/>
        <v>942499.7</v>
      </c>
    </row>
    <row r="56" spans="1:6" x14ac:dyDescent="0.3">
      <c r="A56" s="16" t="s">
        <v>32</v>
      </c>
      <c r="B56" s="7" t="s">
        <v>89</v>
      </c>
      <c r="C56" s="17">
        <v>7.4953952470297294</v>
      </c>
      <c r="D56" s="17">
        <v>13.625921522166619</v>
      </c>
      <c r="E56" s="33">
        <f t="shared" si="12"/>
        <v>1.8179056704936662</v>
      </c>
      <c r="F56" s="17">
        <f t="shared" si="13"/>
        <v>6.1305262751368899</v>
      </c>
    </row>
    <row r="58" spans="1:6" x14ac:dyDescent="0.3">
      <c r="A58" s="16" t="s">
        <v>34</v>
      </c>
      <c r="B58" s="7" t="s">
        <v>84</v>
      </c>
      <c r="C58" s="17">
        <v>100</v>
      </c>
      <c r="D58" s="17">
        <v>100</v>
      </c>
      <c r="E58" s="33">
        <f t="shared" ref="E58:E63" si="14">IF(AND(ISNUMBER(C58),ISNUMBER(D58),C58&lt;&gt;0),D58/C58,"-")</f>
        <v>1</v>
      </c>
      <c r="F58" s="17">
        <f t="shared" ref="F58:F63" si="15">IF(AND(ISNUMBER(C58),ISNUMBER(D58)),D58-C58,"-")</f>
        <v>0</v>
      </c>
    </row>
    <row r="59" spans="1:6" x14ac:dyDescent="0.3">
      <c r="A59" s="16" t="s">
        <v>34</v>
      </c>
      <c r="B59" s="7" t="s">
        <v>85</v>
      </c>
      <c r="C59" s="17">
        <v>2.2480481471660139</v>
      </c>
      <c r="D59" s="17">
        <v>2.2903098461420068</v>
      </c>
      <c r="E59" s="33">
        <f t="shared" si="14"/>
        <v>1.0187992855176478</v>
      </c>
      <c r="F59" s="17">
        <f t="shared" si="15"/>
        <v>4.2261698975992967E-2</v>
      </c>
    </row>
    <row r="60" spans="1:6" x14ac:dyDescent="0.3">
      <c r="A60" s="16" t="s">
        <v>34</v>
      </c>
      <c r="B60" s="7" t="s">
        <v>86</v>
      </c>
      <c r="C60" s="18">
        <v>9188.4</v>
      </c>
      <c r="D60" s="18">
        <v>50305.8</v>
      </c>
      <c r="E60" s="33">
        <f t="shared" si="14"/>
        <v>5.4749249053153983</v>
      </c>
      <c r="F60" s="18">
        <f t="shared" si="15"/>
        <v>41117.4</v>
      </c>
    </row>
    <row r="61" spans="1:6" x14ac:dyDescent="0.3">
      <c r="A61" s="16" t="s">
        <v>34</v>
      </c>
      <c r="B61" s="7" t="s">
        <v>87</v>
      </c>
      <c r="C61" s="20">
        <v>42.538888888888877</v>
      </c>
      <c r="D61" s="20">
        <v>42.777040816326533</v>
      </c>
      <c r="E61" s="33">
        <f t="shared" si="14"/>
        <v>1.0055984519967061</v>
      </c>
      <c r="F61" s="20">
        <f t="shared" si="15"/>
        <v>0.23815192743765579</v>
      </c>
    </row>
    <row r="62" spans="1:6" x14ac:dyDescent="0.3">
      <c r="A62" s="16" t="s">
        <v>34</v>
      </c>
      <c r="B62" s="7" t="s">
        <v>90</v>
      </c>
      <c r="C62" s="21">
        <v>145863.66666666669</v>
      </c>
      <c r="D62" s="21">
        <v>716111.7333333334</v>
      </c>
      <c r="E62" s="33">
        <f t="shared" si="14"/>
        <v>4.9094592896106182</v>
      </c>
      <c r="F62" s="21">
        <f t="shared" si="15"/>
        <v>570248.06666666665</v>
      </c>
    </row>
    <row r="63" spans="1:6" x14ac:dyDescent="0.3">
      <c r="A63" s="16" t="s">
        <v>34</v>
      </c>
      <c r="B63" s="7" t="s">
        <v>89</v>
      </c>
      <c r="C63" s="17">
        <v>8.9147632414701956</v>
      </c>
      <c r="D63" s="17">
        <v>14.788122094483169</v>
      </c>
      <c r="E63" s="33">
        <f t="shared" si="14"/>
        <v>1.6588350911767296</v>
      </c>
      <c r="F63" s="17">
        <f t="shared" si="15"/>
        <v>5.8733588530129737</v>
      </c>
    </row>
    <row r="65" spans="1:6" x14ac:dyDescent="0.3">
      <c r="A65" s="16" t="s">
        <v>36</v>
      </c>
      <c r="B65" s="7" t="s">
        <v>84</v>
      </c>
      <c r="C65" s="17">
        <v>100</v>
      </c>
      <c r="D65" s="17">
        <v>100</v>
      </c>
      <c r="E65" s="33">
        <f t="shared" ref="E65:E70" si="16">IF(AND(ISNUMBER(C65),ISNUMBER(D65),C65&lt;&gt;0),D65/C65,"-")</f>
        <v>1</v>
      </c>
      <c r="F65" s="17">
        <f t="shared" ref="F65:F70" si="17">IF(AND(ISNUMBER(C65),ISNUMBER(D65)),D65-C65,"-")</f>
        <v>0</v>
      </c>
    </row>
    <row r="66" spans="1:6" x14ac:dyDescent="0.3">
      <c r="A66" s="16" t="s">
        <v>36</v>
      </c>
      <c r="B66" s="7" t="s">
        <v>85</v>
      </c>
      <c r="C66" s="17">
        <v>2.5874862383099302</v>
      </c>
      <c r="D66" s="17">
        <v>2.6518070434894998</v>
      </c>
      <c r="E66" s="33">
        <f t="shared" si="16"/>
        <v>1.0248584144051649</v>
      </c>
      <c r="F66" s="17">
        <f t="shared" si="17"/>
        <v>6.4320805179569618E-2</v>
      </c>
    </row>
    <row r="67" spans="1:6" x14ac:dyDescent="0.3">
      <c r="A67" s="16" t="s">
        <v>36</v>
      </c>
      <c r="B67" s="7" t="s">
        <v>86</v>
      </c>
      <c r="C67" s="18">
        <v>7953.4</v>
      </c>
      <c r="D67" s="18">
        <v>43285.8</v>
      </c>
      <c r="E67" s="33">
        <f t="shared" si="16"/>
        <v>5.4424271380793128</v>
      </c>
      <c r="F67" s="18">
        <f t="shared" si="17"/>
        <v>35332.400000000001</v>
      </c>
    </row>
    <row r="68" spans="1:6" x14ac:dyDescent="0.3">
      <c r="A68" s="16" t="s">
        <v>36</v>
      </c>
      <c r="B68" s="7" t="s">
        <v>87</v>
      </c>
      <c r="C68" s="20">
        <v>36.821296296296303</v>
      </c>
      <c r="D68" s="20">
        <v>36.807653061224492</v>
      </c>
      <c r="E68" s="33">
        <f t="shared" si="16"/>
        <v>0.99962947434109795</v>
      </c>
      <c r="F68" s="20">
        <f t="shared" si="17"/>
        <v>-1.3643235071810977E-2</v>
      </c>
    </row>
    <row r="69" spans="1:6" x14ac:dyDescent="0.3">
      <c r="A69" s="16" t="s">
        <v>36</v>
      </c>
      <c r="B69" s="7" t="s">
        <v>90</v>
      </c>
      <c r="C69" s="21">
        <v>150073.26666666669</v>
      </c>
      <c r="D69" s="21">
        <v>737227.53333333344</v>
      </c>
      <c r="E69" s="33">
        <f t="shared" si="16"/>
        <v>4.9124507629384579</v>
      </c>
      <c r="F69" s="21">
        <f t="shared" si="17"/>
        <v>587154.26666666672</v>
      </c>
    </row>
    <row r="70" spans="1:6" x14ac:dyDescent="0.3">
      <c r="A70" s="16" t="s">
        <v>36</v>
      </c>
      <c r="B70" s="7" t="s">
        <v>89</v>
      </c>
      <c r="C70" s="17">
        <v>9.773065697450777</v>
      </c>
      <c r="D70" s="17">
        <v>15.705645091599891</v>
      </c>
      <c r="E70" s="33">
        <f t="shared" si="16"/>
        <v>1.6070336144058233</v>
      </c>
      <c r="F70" s="17">
        <f t="shared" si="17"/>
        <v>5.9325793941491138</v>
      </c>
    </row>
    <row r="72" spans="1:6" x14ac:dyDescent="0.3">
      <c r="A72" s="16" t="s">
        <v>38</v>
      </c>
      <c r="B72" s="7" t="s">
        <v>84</v>
      </c>
      <c r="C72" s="17">
        <v>51.304849001310423</v>
      </c>
      <c r="D72" s="17">
        <v>51.082001020413351</v>
      </c>
      <c r="E72" s="33">
        <f t="shared" ref="E72:E77" si="18">IF(AND(ISNUMBER(C72),ISNUMBER(D72),C72&lt;&gt;0),D72/C72,"-")</f>
        <v>0.99565639534595685</v>
      </c>
      <c r="F72" s="17">
        <f t="shared" ref="F72:F77" si="19">IF(AND(ISNUMBER(C72),ISNUMBER(D72)),D72-C72,"-")</f>
        <v>-0.22284798089707181</v>
      </c>
    </row>
    <row r="73" spans="1:6" x14ac:dyDescent="0.3">
      <c r="A73" s="16" t="s">
        <v>38</v>
      </c>
      <c r="B73" s="7" t="s">
        <v>85</v>
      </c>
      <c r="C73" s="17">
        <v>1.2796869477182859</v>
      </c>
      <c r="D73" s="17">
        <v>1.2579215508279269</v>
      </c>
      <c r="E73" s="33">
        <f t="shared" si="18"/>
        <v>0.98299162390523143</v>
      </c>
      <c r="F73" s="17">
        <f t="shared" si="19"/>
        <v>-2.1765396890359057E-2</v>
      </c>
    </row>
    <row r="74" spans="1:6" x14ac:dyDescent="0.3">
      <c r="A74" s="16" t="s">
        <v>38</v>
      </c>
      <c r="B74" s="7" t="s">
        <v>86</v>
      </c>
      <c r="C74" s="18">
        <v>8441.2000000000007</v>
      </c>
      <c r="D74" s="18">
        <v>47348.2</v>
      </c>
      <c r="E74" s="33">
        <f t="shared" si="18"/>
        <v>5.609178789745533</v>
      </c>
      <c r="F74" s="18">
        <f t="shared" si="19"/>
        <v>38907</v>
      </c>
    </row>
    <row r="75" spans="1:6" x14ac:dyDescent="0.3">
      <c r="A75" s="16" t="s">
        <v>38</v>
      </c>
      <c r="B75" s="7" t="s">
        <v>87</v>
      </c>
      <c r="C75" s="20">
        <v>39.079629629629629</v>
      </c>
      <c r="D75" s="20">
        <v>40.262074829931983</v>
      </c>
      <c r="E75" s="33">
        <f t="shared" si="18"/>
        <v>1.0302573287287717</v>
      </c>
      <c r="F75" s="20">
        <f t="shared" si="19"/>
        <v>1.1824452003023538</v>
      </c>
    </row>
    <row r="76" spans="1:6" x14ac:dyDescent="0.3">
      <c r="A76" s="16" t="s">
        <v>38</v>
      </c>
      <c r="B76" s="7" t="s">
        <v>90</v>
      </c>
      <c r="C76" s="21">
        <v>12214.33333333333</v>
      </c>
      <c r="D76" s="21">
        <v>56956.166666666657</v>
      </c>
      <c r="E76" s="33">
        <f t="shared" si="18"/>
        <v>4.6630597931392082</v>
      </c>
      <c r="F76" s="21">
        <f t="shared" si="19"/>
        <v>44741.833333333328</v>
      </c>
    </row>
    <row r="77" spans="1:6" x14ac:dyDescent="0.3">
      <c r="A77" s="16" t="s">
        <v>38</v>
      </c>
      <c r="B77" s="7" t="s">
        <v>89</v>
      </c>
      <c r="C77" s="17">
        <v>12.231736618230061</v>
      </c>
      <c r="D77" s="17">
        <v>18.120912397048759</v>
      </c>
      <c r="E77" s="33">
        <f t="shared" si="18"/>
        <v>1.4814668564757623</v>
      </c>
      <c r="F77" s="17">
        <f t="shared" si="19"/>
        <v>5.8891757788186982</v>
      </c>
    </row>
    <row r="80" spans="1:6" ht="48" customHeight="1" x14ac:dyDescent="0.3">
      <c r="A80" s="38" t="s">
        <v>138</v>
      </c>
      <c r="B80" s="35"/>
      <c r="C80" s="35"/>
      <c r="D80" s="35"/>
      <c r="E80" s="35"/>
      <c r="F80" s="35"/>
    </row>
  </sheetData>
  <mergeCells count="3">
    <mergeCell ref="A80:F8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Configurations</vt:lpstr>
      <vt:lpstr>Headline_Metrics</vt:lpstr>
      <vt:lpstr>Metrics_50n_18dB</vt:lpstr>
      <vt:lpstr>Metrics_50n_12dB</vt:lpstr>
      <vt:lpstr>Metrics_10n_18dB</vt:lpstr>
      <vt:lpstr>Metrics_10n_12dB</vt:lpstr>
      <vt:lpstr>ROC_50n_18dB</vt:lpstr>
      <vt:lpstr>ROC_50n_12dB</vt:lpstr>
      <vt:lpstr>ROC_10n_18dB</vt:lpstr>
      <vt:lpstr>ROC_10n_12dB</vt:lpstr>
      <vt:lpstr>Network_Load_Comparison</vt:lpstr>
      <vt:lpstr>SNR_Robustness</vt:lpstr>
      <vt:lpstr>Scaling_Analysis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Lars Thomsen</cp:lastModifiedBy>
  <dcterms:created xsi:type="dcterms:W3CDTF">2026-05-14T11:17:57Z</dcterms:created>
  <dcterms:modified xsi:type="dcterms:W3CDTF">2026-05-14T18:39:53Z</dcterms:modified>
</cp:coreProperties>
</file>